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C:\Users\HP\OneDrive - Curtin\Desktop\ISEC_3004\Assignemnt 1\"/>
    </mc:Choice>
  </mc:AlternateContent>
  <xr:revisionPtr revIDLastSave="0" documentId="8_{3AAC263A-7739-4604-A467-EE102BD6AEE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Gantt Chart" sheetId="1" r:id="rId1"/>
    <sheet name="Milestones &amp; Labels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7" i="2" l="1"/>
  <c r="D9" i="2"/>
  <c r="D8" i="2"/>
  <c r="D6" i="2"/>
  <c r="D5" i="2"/>
  <c r="D4" i="2"/>
  <c r="H55" i="1"/>
  <c r="F55" i="1"/>
  <c r="E55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G53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G52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G51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G50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G49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G47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G46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G45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G44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G43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G42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G41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G40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G38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G37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G36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G35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G34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G33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G32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G30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G29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G28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G27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G26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G24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G23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G22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G21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G20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G19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G17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G16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G15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G14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G13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G12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G11" i="1"/>
  <c r="G5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57" authorId="0" shapeId="0" xr:uid="{00000000-0006-0000-0000-000001000000}">
      <text>
        <r>
          <rPr>
            <sz val="10"/>
            <rFont val="Arial"/>
            <family val="2"/>
          </rPr>
          <t>Assumption: year 2026 used for all dates; phase date windows taken from the uploaded task list.</t>
        </r>
      </text>
    </comment>
  </commentList>
</comments>
</file>

<file path=xl/sharedStrings.xml><?xml version="1.0" encoding="utf-8"?>
<sst xmlns="http://schemas.openxmlformats.org/spreadsheetml/2006/main" count="182" uniqueCount="141">
  <si>
    <t xml:space="preserve">ISEC3004-Assignment 01- Group13 </t>
  </si>
  <si>
    <t>Assignment NAME:</t>
  </si>
  <si>
    <t>CSRF and Log Injection ( Group Assignemnt)</t>
  </si>
  <si>
    <t>MODULE / GROUP:</t>
  </si>
  <si>
    <t>Group Members: Sadinya, Kristina, Bhagya, Ameli, Arindi</t>
  </si>
  <si>
    <t>DATE STARTED:</t>
  </si>
  <si>
    <t>DATE ENDED:</t>
  </si>
  <si>
    <t>#</t>
  </si>
  <si>
    <t>TASK</t>
  </si>
  <si>
    <t>ASSIGNEE</t>
  </si>
  <si>
    <t>LABEL</t>
  </si>
  <si>
    <t>DATE STARTED</t>
  </si>
  <si>
    <t>DATE ENDED</t>
  </si>
  <si>
    <t>DAYS</t>
  </si>
  <si>
    <t>PROGRESS</t>
  </si>
  <si>
    <t>September 2026</t>
  </si>
  <si>
    <t>October 2026</t>
  </si>
  <si>
    <t>Phase 1: Setup &amp; Research (Sept 18-20)</t>
  </si>
  <si>
    <t>Setup GitHub repo, Projects board &amp; branches</t>
  </si>
  <si>
    <t>Sadinya</t>
  </si>
  <si>
    <t>management</t>
  </si>
  <si>
    <t>Create Gantt chart / milestone schedule</t>
  </si>
  <si>
    <t>Record Meeting Minutes  (Planning)</t>
  </si>
  <si>
    <t>Research CSRF vulnerability (OWASP, theory)</t>
  </si>
  <si>
    <t>Kristina</t>
  </si>
  <si>
    <t>research, csrf</t>
  </si>
  <si>
    <t>Research Log Injection vulnerability (OWASP, theory)</t>
  </si>
  <si>
    <t>Bhagya</t>
  </si>
  <si>
    <t>research, log-injection</t>
  </si>
  <si>
    <t>Install &amp; test Burp Suite setup</t>
  </si>
  <si>
    <t>Ameli</t>
  </si>
  <si>
    <t>Test logging tools &amp; log file analysis</t>
  </si>
  <si>
    <t>Arindi</t>
  </si>
  <si>
    <t>Phase 2: Vulnerable Code Development (Sept 21-23)</t>
  </si>
  <si>
    <t>Write CSRF vulnerable code (profile update without token)</t>
  </si>
  <si>
    <t>coding, vulnerable, csrf</t>
  </si>
  <si>
    <t>Create CSRF exploit payload (malicious HTML form)</t>
  </si>
  <si>
    <t>exploit, csrf</t>
  </si>
  <si>
    <t>Write vulnerable logging code (direct user input concatenation)</t>
  </si>
  <si>
    <t>coding, vulnerable, log-injection</t>
  </si>
  <si>
    <t>Create Log Injection CRLF payload (\r\n injection)</t>
  </si>
  <si>
    <t>exploit, log-injection</t>
  </si>
  <si>
    <t>Integrate both vulnerabilities into single Flask app</t>
  </si>
  <si>
    <t>integration, coding</t>
  </si>
  <si>
    <t>Write README.md with setup instructions</t>
  </si>
  <si>
    <t>integration, management</t>
  </si>
  <si>
    <t>Phase 3: Exploit &amp; Tracing (Sept 24-26)</t>
  </si>
  <si>
    <t>Capture CSRF traces using Burp Suite (screenshots)</t>
  </si>
  <si>
    <t>tracing, csrf</t>
  </si>
  <si>
    <t>Capture Log Injection traces from app.log (screenshots)</t>
  </si>
  <si>
    <t>tracing, log-injection</t>
  </si>
  <si>
    <t>Interpret CSRF evidence &amp; link to vulnerability</t>
  </si>
  <si>
    <t>tracing, report, csrf</t>
  </si>
  <si>
    <t>Interpret Log Injection evidence &amp; link to vulnerability</t>
  </si>
  <si>
    <t>tracing, report, log-injection</t>
  </si>
  <si>
    <t>Record Meeting Minutes (Exploit Review)</t>
  </si>
  <si>
    <t>Phase 4: Mitigation &amp; Verification (Sept 27-30)</t>
  </si>
  <si>
    <t>Implement CSRF mitigation (Synchronizer Token Pattern)</t>
  </si>
  <si>
    <t>mitigation, csrf</t>
  </si>
  <si>
    <t>Implement Log Injection mitigation (input sanitization)</t>
  </si>
  <si>
    <t>mitigation, log-injection</t>
  </si>
  <si>
    <t>Test CSRF mitigation - verify attack fails (403 Forbidden)</t>
  </si>
  <si>
    <t>testing, qa, csrf</t>
  </si>
  <si>
    <t>Test Log Injection mitigation - verify sanitized logs</t>
  </si>
  <si>
    <t>testing, qa, log-injection</t>
  </si>
  <si>
    <t>Create QA Testing Checklist for CSRF</t>
  </si>
  <si>
    <t>qa, csrf</t>
  </si>
  <si>
    <t>Create QA Testing Checklist for Log Injection</t>
  </si>
  <si>
    <t>qa, log-injection</t>
  </si>
  <si>
    <t>Merge all mitigation branches into main</t>
  </si>
  <si>
    <t>integration, qa</t>
  </si>
  <si>
    <t>Phase 5: Report Writing (Oct 1-4)</t>
  </si>
  <si>
    <t>Write Report: CSRF Overview + Vulnerable Code + Exploit</t>
  </si>
  <si>
    <t>report, csrf</t>
  </si>
  <si>
    <t>Write Report: CSRF Detection, Tracing, Mitigation, Verification</t>
  </si>
  <si>
    <t>Write Report: Log Injection Overview + Vulnerable Code + Exploit</t>
  </si>
  <si>
    <t>report, log-injection</t>
  </si>
  <si>
    <t>Write Report: Log Injection Detection, Tracing, Mitigation, Verification</t>
  </si>
  <si>
    <t>Write Report: Introduction + Team Organisation + Conclusion</t>
  </si>
  <si>
    <t>report, management</t>
  </si>
  <si>
    <t>Write Report: Project Management Evidence (screenshots)</t>
  </si>
  <si>
    <t>Format &amp; proofread final report</t>
  </si>
  <si>
    <t>report, qa</t>
  </si>
  <si>
    <t>Record Meeting Minutes  (Report Review)</t>
  </si>
  <si>
    <t>Phase 6: Presentation &amp; Submission (Oct 5-7)</t>
  </si>
  <si>
    <t>Create presentation slides (CSRF section)</t>
  </si>
  <si>
    <t>Kristina &amp; Ameli</t>
  </si>
  <si>
    <t>presentation, csrf</t>
  </si>
  <si>
    <t>Create presentation slides (Log Injection section)</t>
  </si>
  <si>
    <t>Bhagya &amp; Arindi</t>
  </si>
  <si>
    <t>presentation, log-injection</t>
  </si>
  <si>
    <t>Create PM &amp; QA evidence slides</t>
  </si>
  <si>
    <t>presentation, management</t>
  </si>
  <si>
    <t>Rehearse live demonstration (all 5 members)</t>
  </si>
  <si>
    <t>All</t>
  </si>
  <si>
    <t>presentation, demo</t>
  </si>
  <si>
    <t>Final submission - Report + Code ZIP</t>
  </si>
  <si>
    <t>OVERALL PROJECT PROGRESS</t>
  </si>
  <si>
    <t>MILESTONES</t>
  </si>
  <si>
    <t>Milestone</t>
  </si>
  <si>
    <t>Start Date</t>
  </si>
  <si>
    <t>Due Date</t>
  </si>
  <si>
    <t>Status</t>
  </si>
  <si>
    <t>Phase 1: Setup &amp; Research</t>
  </si>
  <si>
    <t>Phase 2: Vulnerable Code Development</t>
  </si>
  <si>
    <t>Phase 3: Exploit &amp; Tracing</t>
  </si>
  <si>
    <t>Phase 4: Mitigation &amp; Verification</t>
  </si>
  <si>
    <t>Phase 5: Report Writing</t>
  </si>
  <si>
    <t>Phase 6: Presentation &amp; Submission</t>
  </si>
  <si>
    <t>GITHUB LABELS</t>
  </si>
  <si>
    <t>Label</t>
  </si>
  <si>
    <t>Purpose</t>
  </si>
  <si>
    <t>research</t>
  </si>
  <si>
    <t>Research tasks</t>
  </si>
  <si>
    <t>coding</t>
  </si>
  <si>
    <t>Development work</t>
  </si>
  <si>
    <t>vulnerable</t>
  </si>
  <si>
    <t>Vulnerable code</t>
  </si>
  <si>
    <t>exploit</t>
  </si>
  <si>
    <t>Exploit development</t>
  </si>
  <si>
    <t>tracing</t>
  </si>
  <si>
    <t>Detection / tracing</t>
  </si>
  <si>
    <t>mitigation</t>
  </si>
  <si>
    <t>Security fixes</t>
  </si>
  <si>
    <t>testing</t>
  </si>
  <si>
    <t>QA / testing</t>
  </si>
  <si>
    <t>qa</t>
  </si>
  <si>
    <t>Quality assurance</t>
  </si>
  <si>
    <t>integration</t>
  </si>
  <si>
    <t>System integration</t>
  </si>
  <si>
    <t>report</t>
  </si>
  <si>
    <t>Report writing</t>
  </si>
  <si>
    <t>presentation</t>
  </si>
  <si>
    <t>Presentation prep</t>
  </si>
  <si>
    <t>PM tasks</t>
  </si>
  <si>
    <t>csrf</t>
  </si>
  <si>
    <t>CSRF related</t>
  </si>
  <si>
    <t>log-injection</t>
  </si>
  <si>
    <t>Log injection related</t>
  </si>
  <si>
    <t>demo</t>
  </si>
  <si>
    <t>Live 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</si>
</sst>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-mmm\-yyyy"/>
    <numFmt numFmtId="165" formatCode="d"/>
    <numFmt numFmtId="166" formatCode=";;;"/>
  </numFmts>
  <fonts count="12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0"/>
      <color rgb="FF1F4E6B"/>
      <name val="Arial"/>
      <charset val="1"/>
    </font>
    <font>
      <sz val="10"/>
      <name val="Arial"/>
      <charset val="1"/>
    </font>
    <font>
      <b/>
      <sz val="9"/>
      <color rgb="FF1F4E6B"/>
      <name val="Arial"/>
      <charset val="1"/>
    </font>
    <font>
      <i/>
      <sz val="9"/>
      <color rgb="FF7A6000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sz val="10"/>
      <color rgb="FF0000FF"/>
      <name val="Arial"/>
      <charset val="1"/>
    </font>
    <font>
      <sz val="10"/>
      <name val="Arial"/>
      <family val="2"/>
    </font>
    <font>
      <b/>
      <sz val="14"/>
      <color rgb="FFFFFFFF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6B"/>
        <bgColor rgb="FF333399"/>
      </patternFill>
    </fill>
    <fill>
      <patternFill patternType="solid">
        <fgColor rgb="FF2E6D96"/>
        <bgColor rgb="FF1F4E6B"/>
      </patternFill>
    </fill>
    <fill>
      <patternFill patternType="solid">
        <fgColor rgb="FF8C9BA5"/>
        <bgColor rgb="FF808080"/>
      </patternFill>
    </fill>
    <fill>
      <patternFill patternType="solid">
        <fgColor rgb="FFB9D6E8"/>
        <bgColor rgb="FFBFCDD6"/>
      </patternFill>
    </fill>
    <fill>
      <patternFill patternType="solid">
        <fgColor rgb="FFFFF2CC"/>
        <bgColor rgb="FFF0F3F5"/>
      </patternFill>
    </fill>
    <fill>
      <patternFill patternType="solid">
        <fgColor rgb="FFF0F3F5"/>
        <bgColor rgb="FFDCEBF5"/>
      </patternFill>
    </fill>
    <fill>
      <patternFill patternType="solid">
        <fgColor rgb="FFDCEBF5"/>
        <bgColor rgb="FFF0F3F5"/>
      </patternFill>
    </fill>
  </fills>
  <borders count="2">
    <border>
      <left/>
      <right/>
      <top/>
      <bottom/>
      <diagonal/>
    </border>
    <border>
      <left style="thin">
        <color rgb="FFBFCDD6"/>
      </left>
      <right style="thin">
        <color rgb="FFBFCDD6"/>
      </right>
      <top style="thin">
        <color rgb="FFBFCDD6"/>
      </top>
      <bottom style="thin">
        <color rgb="FFBFCDD6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6" fillId="0" borderId="0" xfId="0" applyFont="1"/>
    <xf numFmtId="0" fontId="2" fillId="0" borderId="0" xfId="0" applyFont="1"/>
    <xf numFmtId="0" fontId="4" fillId="0" borderId="0" xfId="0" applyFont="1"/>
    <xf numFmtId="165" fontId="8" fillId="3" borderId="1" xfId="0" applyNumberFormat="1" applyFont="1" applyFill="1" applyBorder="1" applyAlignment="1">
      <alignment horizontal="center" vertical="center"/>
    </xf>
    <xf numFmtId="165" fontId="8" fillId="4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164" fontId="9" fillId="6" borderId="1" xfId="0" applyNumberFormat="1" applyFont="1" applyFill="1" applyBorder="1" applyAlignment="1">
      <alignment horizontal="center" vertical="center"/>
    </xf>
    <xf numFmtId="9" fontId="9" fillId="6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/>
    <xf numFmtId="166" fontId="0" fillId="7" borderId="1" xfId="0" applyNumberFormat="1" applyFill="1" applyBorder="1"/>
    <xf numFmtId="0" fontId="2" fillId="8" borderId="1" xfId="0" applyFont="1" applyFill="1" applyBorder="1"/>
    <xf numFmtId="0" fontId="2" fillId="8" borderId="1" xfId="0" applyFont="1" applyFill="1" applyBorder="1" applyAlignment="1">
      <alignment horizontal="left" vertical="center"/>
    </xf>
    <xf numFmtId="164" fontId="2" fillId="8" borderId="1" xfId="0" applyNumberFormat="1" applyFont="1" applyFill="1" applyBorder="1"/>
    <xf numFmtId="0" fontId="2" fillId="8" borderId="1" xfId="0" applyFont="1" applyFill="1" applyBorder="1" applyAlignment="1">
      <alignment horizontal="center"/>
    </xf>
    <xf numFmtId="9" fontId="2" fillId="8" borderId="1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7" fillId="2" borderId="1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left" vertical="center" indent="1"/>
    </xf>
    <xf numFmtId="0" fontId="7" fillId="3" borderId="1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5" fillId="0" borderId="0" xfId="0" applyFont="1" applyAlignment="1"/>
    <xf numFmtId="0" fontId="6" fillId="0" borderId="0" xfId="0" applyFont="1" applyAlignment="1"/>
  </cellXfs>
  <cellStyles count="1">
    <cellStyle name="Normal" xfId="0" builtinId="0"/>
  </cellStyles>
  <dxfs count="2">
    <dxf>
      <border diagonalUp="0" diagonalDown="0">
        <left style="medium">
          <color rgb="FFC00000"/>
        </left>
        <right style="medium">
          <color rgb="FFC00000"/>
        </right>
        <top/>
        <bottom/>
      </border>
    </dxf>
    <dxf>
      <fill>
        <patternFill>
          <bgColor rgb="FF1F4E6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6000"/>
      <rgbColor rgb="FF800080"/>
      <rgbColor rgb="FF2E6D96"/>
      <rgbColor rgb="FFBFCDD6"/>
      <rgbColor rgb="FF808080"/>
      <rgbColor rgb="FF9999FF"/>
      <rgbColor rgb="FF993366"/>
      <rgbColor rgb="FFFFF2CC"/>
      <rgbColor rgb="FFDCEBF5"/>
      <rgbColor rgb="FF660066"/>
      <rgbColor rgb="FFFF8080"/>
      <rgbColor rgb="FF0066CC"/>
      <rgbColor rgb="FFB9D6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3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8C9BA5"/>
      <rgbColor rgb="FF1F4E6B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57"/>
  <sheetViews>
    <sheetView showGridLines="0" tabSelected="1" zoomScale="86" zoomScaleNormal="100" workbookViewId="0">
      <pane ySplit="9" topLeftCell="A10" activePane="bottomLeft" state="frozen"/>
      <selection pane="bottomLeft" activeCell="AI58" sqref="AI58"/>
    </sheetView>
  </sheetViews>
  <sheetFormatPr defaultColWidth="8.7109375" defaultRowHeight="15" customHeight="1"/>
  <cols>
    <col min="1" max="1" width="4.42578125" customWidth="1"/>
    <col min="2" max="2" width="52" customWidth="1"/>
    <col min="3" max="3" width="16" customWidth="1"/>
    <col min="4" max="4" width="26" customWidth="1"/>
    <col min="5" max="6" width="13" customWidth="1"/>
    <col min="7" max="7" width="7" customWidth="1"/>
    <col min="8" max="8" width="12" customWidth="1"/>
    <col min="9" max="28" width="3.5703125" customWidth="1"/>
  </cols>
  <sheetData>
    <row r="1" spans="1:28" ht="30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3" spans="1:28">
      <c r="A3" s="2" t="s">
        <v>1</v>
      </c>
      <c r="B3" s="22" t="s">
        <v>2</v>
      </c>
      <c r="C3" s="22"/>
      <c r="D3" s="22"/>
      <c r="E3" s="3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28">
      <c r="A4" s="2" t="s">
        <v>3</v>
      </c>
      <c r="B4" s="22" t="s">
        <v>4</v>
      </c>
      <c r="C4" s="22"/>
      <c r="D4" s="22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28">
      <c r="A5" s="2" t="s">
        <v>5</v>
      </c>
      <c r="B5" s="23">
        <v>46283</v>
      </c>
      <c r="C5" s="23"/>
      <c r="D5" s="23"/>
    </row>
    <row r="6" spans="1:28">
      <c r="A6" s="2" t="s">
        <v>6</v>
      </c>
      <c r="B6" s="23">
        <v>46302</v>
      </c>
      <c r="C6" s="23"/>
      <c r="D6" s="23"/>
    </row>
    <row r="8" spans="1:28" ht="18" customHeight="1">
      <c r="A8" s="24" t="s">
        <v>7</v>
      </c>
      <c r="B8" s="24" t="s">
        <v>8</v>
      </c>
      <c r="C8" s="24" t="s">
        <v>9</v>
      </c>
      <c r="D8" s="24" t="s">
        <v>10</v>
      </c>
      <c r="E8" s="24" t="s">
        <v>11</v>
      </c>
      <c r="F8" s="24" t="s">
        <v>12</v>
      </c>
      <c r="G8" s="24" t="s">
        <v>13</v>
      </c>
      <c r="H8" s="24" t="s">
        <v>14</v>
      </c>
      <c r="I8" s="26" t="s">
        <v>15</v>
      </c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 t="s">
        <v>16</v>
      </c>
      <c r="W8" s="26"/>
      <c r="X8" s="26"/>
      <c r="Y8" s="26"/>
      <c r="Z8" s="26"/>
      <c r="AA8" s="26"/>
      <c r="AB8" s="26"/>
    </row>
    <row r="9" spans="1:28" ht="18" customHeight="1">
      <c r="A9" s="24"/>
      <c r="B9" s="24"/>
      <c r="C9" s="24"/>
      <c r="D9" s="24"/>
      <c r="E9" s="24"/>
      <c r="F9" s="24"/>
      <c r="G9" s="24"/>
      <c r="H9" s="24"/>
      <c r="I9" s="4">
        <v>46283</v>
      </c>
      <c r="J9" s="5">
        <v>46284</v>
      </c>
      <c r="K9" s="5">
        <v>46285</v>
      </c>
      <c r="L9" s="4">
        <v>46286</v>
      </c>
      <c r="M9" s="4">
        <v>46287</v>
      </c>
      <c r="N9" s="4">
        <v>46288</v>
      </c>
      <c r="O9" s="4">
        <v>46289</v>
      </c>
      <c r="P9" s="4">
        <v>46290</v>
      </c>
      <c r="Q9" s="5">
        <v>46291</v>
      </c>
      <c r="R9" s="5">
        <v>46292</v>
      </c>
      <c r="S9" s="4">
        <v>46293</v>
      </c>
      <c r="T9" s="4">
        <v>46294</v>
      </c>
      <c r="U9" s="4">
        <v>46295</v>
      </c>
      <c r="V9" s="4">
        <v>46296</v>
      </c>
      <c r="W9" s="4">
        <v>46297</v>
      </c>
      <c r="X9" s="5">
        <v>46298</v>
      </c>
      <c r="Y9" s="5">
        <v>46299</v>
      </c>
      <c r="Z9" s="4">
        <v>46300</v>
      </c>
      <c r="AA9" s="4">
        <v>46301</v>
      </c>
      <c r="AB9" s="4">
        <v>46302</v>
      </c>
    </row>
    <row r="10" spans="1:28" ht="18" customHeight="1">
      <c r="A10" s="25" t="s">
        <v>17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</row>
    <row r="11" spans="1:28" ht="25.5" customHeight="1">
      <c r="A11" s="6">
        <v>1</v>
      </c>
      <c r="B11" s="7" t="s">
        <v>18</v>
      </c>
      <c r="C11" s="8" t="s">
        <v>19</v>
      </c>
      <c r="D11" s="7" t="s">
        <v>20</v>
      </c>
      <c r="E11" s="9">
        <v>46283</v>
      </c>
      <c r="F11" s="9">
        <v>46283</v>
      </c>
      <c r="G11" s="8">
        <f t="shared" ref="G11:G17" si="0">F11-E11+1</f>
        <v>1</v>
      </c>
      <c r="H11" s="10">
        <v>1</v>
      </c>
      <c r="I11" s="11">
        <f t="shared" ref="I11:R17" si="1">IF(AND(I$9&gt;=$E11,I$9&lt;=$F11),1,"")</f>
        <v>1</v>
      </c>
      <c r="J11" s="12" t="str">
        <f t="shared" si="1"/>
        <v/>
      </c>
      <c r="K11" s="12" t="str">
        <f t="shared" si="1"/>
        <v/>
      </c>
      <c r="L11" s="11" t="str">
        <f t="shared" si="1"/>
        <v/>
      </c>
      <c r="M11" s="11" t="str">
        <f t="shared" si="1"/>
        <v/>
      </c>
      <c r="N11" s="11" t="str">
        <f t="shared" si="1"/>
        <v/>
      </c>
      <c r="O11" s="11" t="str">
        <f t="shared" si="1"/>
        <v/>
      </c>
      <c r="P11" s="11" t="str">
        <f t="shared" si="1"/>
        <v/>
      </c>
      <c r="Q11" s="12" t="str">
        <f t="shared" si="1"/>
        <v/>
      </c>
      <c r="R11" s="12" t="str">
        <f t="shared" si="1"/>
        <v/>
      </c>
      <c r="S11" s="11" t="str">
        <f t="shared" ref="S11:AB17" si="2">IF(AND(S$9&gt;=$E11,S$9&lt;=$F11),1,"")</f>
        <v/>
      </c>
      <c r="T11" s="11" t="str">
        <f t="shared" si="2"/>
        <v/>
      </c>
      <c r="U11" s="11" t="str">
        <f t="shared" si="2"/>
        <v/>
      </c>
      <c r="V11" s="11" t="str">
        <f t="shared" si="2"/>
        <v/>
      </c>
      <c r="W11" s="11" t="str">
        <f t="shared" si="2"/>
        <v/>
      </c>
      <c r="X11" s="12" t="str">
        <f t="shared" si="2"/>
        <v/>
      </c>
      <c r="Y11" s="12" t="str">
        <f t="shared" si="2"/>
        <v/>
      </c>
      <c r="Z11" s="11" t="str">
        <f t="shared" si="2"/>
        <v/>
      </c>
      <c r="AA11" s="11" t="str">
        <f t="shared" si="2"/>
        <v/>
      </c>
      <c r="AB11" s="11" t="str">
        <f t="shared" si="2"/>
        <v/>
      </c>
    </row>
    <row r="12" spans="1:28" ht="25.5" customHeight="1">
      <c r="A12" s="6">
        <v>2</v>
      </c>
      <c r="B12" s="7" t="s">
        <v>21</v>
      </c>
      <c r="C12" s="8" t="s">
        <v>19</v>
      </c>
      <c r="D12" s="7" t="s">
        <v>20</v>
      </c>
      <c r="E12" s="9">
        <v>46283</v>
      </c>
      <c r="F12" s="9">
        <v>46284</v>
      </c>
      <c r="G12" s="8">
        <f t="shared" si="0"/>
        <v>2</v>
      </c>
      <c r="H12" s="10">
        <v>1</v>
      </c>
      <c r="I12" s="11">
        <f t="shared" si="1"/>
        <v>1</v>
      </c>
      <c r="J12" s="12">
        <f t="shared" si="1"/>
        <v>1</v>
      </c>
      <c r="K12" s="12" t="str">
        <f t="shared" si="1"/>
        <v/>
      </c>
      <c r="L12" s="11" t="str">
        <f t="shared" si="1"/>
        <v/>
      </c>
      <c r="M12" s="11" t="str">
        <f t="shared" si="1"/>
        <v/>
      </c>
      <c r="N12" s="11" t="str">
        <f t="shared" si="1"/>
        <v/>
      </c>
      <c r="O12" s="11" t="str">
        <f t="shared" si="1"/>
        <v/>
      </c>
      <c r="P12" s="11" t="str">
        <f t="shared" si="1"/>
        <v/>
      </c>
      <c r="Q12" s="12" t="str">
        <f t="shared" si="1"/>
        <v/>
      </c>
      <c r="R12" s="12" t="str">
        <f t="shared" si="1"/>
        <v/>
      </c>
      <c r="S12" s="11" t="str">
        <f t="shared" si="2"/>
        <v/>
      </c>
      <c r="T12" s="11" t="str">
        <f t="shared" si="2"/>
        <v/>
      </c>
      <c r="U12" s="11" t="str">
        <f t="shared" si="2"/>
        <v/>
      </c>
      <c r="V12" s="11" t="str">
        <f t="shared" si="2"/>
        <v/>
      </c>
      <c r="W12" s="11" t="str">
        <f t="shared" si="2"/>
        <v/>
      </c>
      <c r="X12" s="12" t="str">
        <f t="shared" si="2"/>
        <v/>
      </c>
      <c r="Y12" s="12" t="str">
        <f t="shared" si="2"/>
        <v/>
      </c>
      <c r="Z12" s="11" t="str">
        <f t="shared" si="2"/>
        <v/>
      </c>
      <c r="AA12" s="11" t="str">
        <f t="shared" si="2"/>
        <v/>
      </c>
      <c r="AB12" s="11" t="str">
        <f t="shared" si="2"/>
        <v/>
      </c>
    </row>
    <row r="13" spans="1:28" ht="25.5" customHeight="1">
      <c r="A13" s="6">
        <v>3</v>
      </c>
      <c r="B13" s="7" t="s">
        <v>22</v>
      </c>
      <c r="C13" s="8" t="s">
        <v>19</v>
      </c>
      <c r="D13" s="7" t="s">
        <v>20</v>
      </c>
      <c r="E13" s="9">
        <v>46283</v>
      </c>
      <c r="F13" s="9">
        <v>46283</v>
      </c>
      <c r="G13" s="8">
        <f t="shared" si="0"/>
        <v>1</v>
      </c>
      <c r="H13" s="10">
        <v>1</v>
      </c>
      <c r="I13" s="11">
        <f t="shared" si="1"/>
        <v>1</v>
      </c>
      <c r="J13" s="12" t="str">
        <f t="shared" si="1"/>
        <v/>
      </c>
      <c r="K13" s="12" t="str">
        <f t="shared" si="1"/>
        <v/>
      </c>
      <c r="L13" s="11" t="str">
        <f t="shared" si="1"/>
        <v/>
      </c>
      <c r="M13" s="11" t="str">
        <f t="shared" si="1"/>
        <v/>
      </c>
      <c r="N13" s="11" t="str">
        <f t="shared" si="1"/>
        <v/>
      </c>
      <c r="O13" s="11" t="str">
        <f t="shared" si="1"/>
        <v/>
      </c>
      <c r="P13" s="11" t="str">
        <f t="shared" si="1"/>
        <v/>
      </c>
      <c r="Q13" s="12" t="str">
        <f t="shared" si="1"/>
        <v/>
      </c>
      <c r="R13" s="12" t="str">
        <f t="shared" si="1"/>
        <v/>
      </c>
      <c r="S13" s="11" t="str">
        <f t="shared" si="2"/>
        <v/>
      </c>
      <c r="T13" s="11" t="str">
        <f t="shared" si="2"/>
        <v/>
      </c>
      <c r="U13" s="11" t="str">
        <f t="shared" si="2"/>
        <v/>
      </c>
      <c r="V13" s="11" t="str">
        <f t="shared" si="2"/>
        <v/>
      </c>
      <c r="W13" s="11" t="str">
        <f t="shared" si="2"/>
        <v/>
      </c>
      <c r="X13" s="12" t="str">
        <f t="shared" si="2"/>
        <v/>
      </c>
      <c r="Y13" s="12" t="str">
        <f t="shared" si="2"/>
        <v/>
      </c>
      <c r="Z13" s="11" t="str">
        <f t="shared" si="2"/>
        <v/>
      </c>
      <c r="AA13" s="11" t="str">
        <f t="shared" si="2"/>
        <v/>
      </c>
      <c r="AB13" s="11" t="str">
        <f t="shared" si="2"/>
        <v/>
      </c>
    </row>
    <row r="14" spans="1:28" ht="25.5" customHeight="1">
      <c r="A14" s="6">
        <v>4</v>
      </c>
      <c r="B14" s="7" t="s">
        <v>23</v>
      </c>
      <c r="C14" s="8" t="s">
        <v>24</v>
      </c>
      <c r="D14" s="7" t="s">
        <v>25</v>
      </c>
      <c r="E14" s="9">
        <v>46283</v>
      </c>
      <c r="F14" s="9">
        <v>46285</v>
      </c>
      <c r="G14" s="8">
        <f t="shared" si="0"/>
        <v>3</v>
      </c>
      <c r="H14" s="10">
        <v>1</v>
      </c>
      <c r="I14" s="11">
        <f t="shared" si="1"/>
        <v>1</v>
      </c>
      <c r="J14" s="12">
        <f t="shared" si="1"/>
        <v>1</v>
      </c>
      <c r="K14" s="12">
        <f t="shared" si="1"/>
        <v>1</v>
      </c>
      <c r="L14" s="11" t="str">
        <f t="shared" si="1"/>
        <v/>
      </c>
      <c r="M14" s="11" t="str">
        <f t="shared" si="1"/>
        <v/>
      </c>
      <c r="N14" s="11" t="str">
        <f t="shared" si="1"/>
        <v/>
      </c>
      <c r="O14" s="11" t="str">
        <f t="shared" si="1"/>
        <v/>
      </c>
      <c r="P14" s="11" t="str">
        <f t="shared" si="1"/>
        <v/>
      </c>
      <c r="Q14" s="12" t="str">
        <f t="shared" si="1"/>
        <v/>
      </c>
      <c r="R14" s="12" t="str">
        <f t="shared" si="1"/>
        <v/>
      </c>
      <c r="S14" s="11" t="str">
        <f t="shared" si="2"/>
        <v/>
      </c>
      <c r="T14" s="11" t="str">
        <f t="shared" si="2"/>
        <v/>
      </c>
      <c r="U14" s="11" t="str">
        <f t="shared" si="2"/>
        <v/>
      </c>
      <c r="V14" s="11" t="str">
        <f t="shared" si="2"/>
        <v/>
      </c>
      <c r="W14" s="11" t="str">
        <f t="shared" si="2"/>
        <v/>
      </c>
      <c r="X14" s="12" t="str">
        <f t="shared" si="2"/>
        <v/>
      </c>
      <c r="Y14" s="12" t="str">
        <f t="shared" si="2"/>
        <v/>
      </c>
      <c r="Z14" s="11" t="str">
        <f t="shared" si="2"/>
        <v/>
      </c>
      <c r="AA14" s="11" t="str">
        <f t="shared" si="2"/>
        <v/>
      </c>
      <c r="AB14" s="11" t="str">
        <f t="shared" si="2"/>
        <v/>
      </c>
    </row>
    <row r="15" spans="1:28" ht="25.5" customHeight="1">
      <c r="A15" s="6">
        <v>5</v>
      </c>
      <c r="B15" s="7" t="s">
        <v>26</v>
      </c>
      <c r="C15" s="8" t="s">
        <v>27</v>
      </c>
      <c r="D15" s="7" t="s">
        <v>28</v>
      </c>
      <c r="E15" s="9">
        <v>46283</v>
      </c>
      <c r="F15" s="9">
        <v>46285</v>
      </c>
      <c r="G15" s="8">
        <f t="shared" si="0"/>
        <v>3</v>
      </c>
      <c r="H15" s="10">
        <v>1</v>
      </c>
      <c r="I15" s="11">
        <f t="shared" si="1"/>
        <v>1</v>
      </c>
      <c r="J15" s="12">
        <f t="shared" si="1"/>
        <v>1</v>
      </c>
      <c r="K15" s="12">
        <f t="shared" si="1"/>
        <v>1</v>
      </c>
      <c r="L15" s="11" t="str">
        <f t="shared" si="1"/>
        <v/>
      </c>
      <c r="M15" s="11" t="str">
        <f t="shared" si="1"/>
        <v/>
      </c>
      <c r="N15" s="11" t="str">
        <f t="shared" si="1"/>
        <v/>
      </c>
      <c r="O15" s="11" t="str">
        <f t="shared" si="1"/>
        <v/>
      </c>
      <c r="P15" s="11" t="str">
        <f t="shared" si="1"/>
        <v/>
      </c>
      <c r="Q15" s="12" t="str">
        <f t="shared" si="1"/>
        <v/>
      </c>
      <c r="R15" s="12" t="str">
        <f t="shared" si="1"/>
        <v/>
      </c>
      <c r="S15" s="11" t="str">
        <f t="shared" si="2"/>
        <v/>
      </c>
      <c r="T15" s="11" t="str">
        <f t="shared" si="2"/>
        <v/>
      </c>
      <c r="U15" s="11" t="str">
        <f t="shared" si="2"/>
        <v/>
      </c>
      <c r="V15" s="11" t="str">
        <f t="shared" si="2"/>
        <v/>
      </c>
      <c r="W15" s="11" t="str">
        <f t="shared" si="2"/>
        <v/>
      </c>
      <c r="X15" s="12" t="str">
        <f t="shared" si="2"/>
        <v/>
      </c>
      <c r="Y15" s="12" t="str">
        <f t="shared" si="2"/>
        <v/>
      </c>
      <c r="Z15" s="11" t="str">
        <f t="shared" si="2"/>
        <v/>
      </c>
      <c r="AA15" s="11" t="str">
        <f t="shared" si="2"/>
        <v/>
      </c>
      <c r="AB15" s="11" t="str">
        <f t="shared" si="2"/>
        <v/>
      </c>
    </row>
    <row r="16" spans="1:28" ht="25.5" customHeight="1">
      <c r="A16" s="6">
        <v>6</v>
      </c>
      <c r="B16" s="7" t="s">
        <v>29</v>
      </c>
      <c r="C16" s="8" t="s">
        <v>30</v>
      </c>
      <c r="D16" s="7" t="s">
        <v>25</v>
      </c>
      <c r="E16" s="9">
        <v>46284</v>
      </c>
      <c r="F16" s="9">
        <v>46285</v>
      </c>
      <c r="G16" s="8">
        <f t="shared" si="0"/>
        <v>2</v>
      </c>
      <c r="H16" s="10">
        <v>1</v>
      </c>
      <c r="I16" s="11" t="str">
        <f t="shared" si="1"/>
        <v/>
      </c>
      <c r="J16" s="12">
        <f t="shared" si="1"/>
        <v>1</v>
      </c>
      <c r="K16" s="12">
        <f t="shared" si="1"/>
        <v>1</v>
      </c>
      <c r="L16" s="11" t="str">
        <f t="shared" si="1"/>
        <v/>
      </c>
      <c r="M16" s="11" t="str">
        <f t="shared" si="1"/>
        <v/>
      </c>
      <c r="N16" s="11" t="str">
        <f t="shared" si="1"/>
        <v/>
      </c>
      <c r="O16" s="11" t="str">
        <f t="shared" si="1"/>
        <v/>
      </c>
      <c r="P16" s="11" t="str">
        <f t="shared" si="1"/>
        <v/>
      </c>
      <c r="Q16" s="12" t="str">
        <f t="shared" si="1"/>
        <v/>
      </c>
      <c r="R16" s="12" t="str">
        <f t="shared" si="1"/>
        <v/>
      </c>
      <c r="S16" s="11" t="str">
        <f t="shared" si="2"/>
        <v/>
      </c>
      <c r="T16" s="11" t="str">
        <f t="shared" si="2"/>
        <v/>
      </c>
      <c r="U16" s="11" t="str">
        <f t="shared" si="2"/>
        <v/>
      </c>
      <c r="V16" s="11" t="str">
        <f t="shared" si="2"/>
        <v/>
      </c>
      <c r="W16" s="11" t="str">
        <f t="shared" si="2"/>
        <v/>
      </c>
      <c r="X16" s="12" t="str">
        <f t="shared" si="2"/>
        <v/>
      </c>
      <c r="Y16" s="12" t="str">
        <f t="shared" si="2"/>
        <v/>
      </c>
      <c r="Z16" s="11" t="str">
        <f t="shared" si="2"/>
        <v/>
      </c>
      <c r="AA16" s="11" t="str">
        <f t="shared" si="2"/>
        <v/>
      </c>
      <c r="AB16" s="11" t="str">
        <f t="shared" si="2"/>
        <v/>
      </c>
    </row>
    <row r="17" spans="1:28" ht="25.5" customHeight="1">
      <c r="A17" s="6">
        <v>7</v>
      </c>
      <c r="B17" s="7" t="s">
        <v>31</v>
      </c>
      <c r="C17" s="8" t="s">
        <v>32</v>
      </c>
      <c r="D17" s="7" t="s">
        <v>28</v>
      </c>
      <c r="E17" s="9">
        <v>46284</v>
      </c>
      <c r="F17" s="9">
        <v>46285</v>
      </c>
      <c r="G17" s="8">
        <f t="shared" si="0"/>
        <v>2</v>
      </c>
      <c r="H17" s="10">
        <v>1</v>
      </c>
      <c r="I17" s="11" t="str">
        <f t="shared" si="1"/>
        <v/>
      </c>
      <c r="J17" s="12">
        <f t="shared" si="1"/>
        <v>1</v>
      </c>
      <c r="K17" s="12">
        <f t="shared" si="1"/>
        <v>1</v>
      </c>
      <c r="L17" s="11" t="str">
        <f t="shared" si="1"/>
        <v/>
      </c>
      <c r="M17" s="11" t="str">
        <f t="shared" si="1"/>
        <v/>
      </c>
      <c r="N17" s="11" t="str">
        <f t="shared" si="1"/>
        <v/>
      </c>
      <c r="O17" s="11" t="str">
        <f t="shared" si="1"/>
        <v/>
      </c>
      <c r="P17" s="11" t="str">
        <f t="shared" si="1"/>
        <v/>
      </c>
      <c r="Q17" s="12" t="str">
        <f t="shared" si="1"/>
        <v/>
      </c>
      <c r="R17" s="12" t="str">
        <f t="shared" si="1"/>
        <v/>
      </c>
      <c r="S17" s="11" t="str">
        <f t="shared" si="2"/>
        <v/>
      </c>
      <c r="T17" s="11" t="str">
        <f t="shared" si="2"/>
        <v/>
      </c>
      <c r="U17" s="11" t="str">
        <f t="shared" si="2"/>
        <v/>
      </c>
      <c r="V17" s="11" t="str">
        <f t="shared" si="2"/>
        <v/>
      </c>
      <c r="W17" s="11" t="str">
        <f t="shared" si="2"/>
        <v/>
      </c>
      <c r="X17" s="12" t="str">
        <f t="shared" si="2"/>
        <v/>
      </c>
      <c r="Y17" s="12" t="str">
        <f t="shared" si="2"/>
        <v/>
      </c>
      <c r="Z17" s="11" t="str">
        <f t="shared" si="2"/>
        <v/>
      </c>
      <c r="AA17" s="11" t="str">
        <f t="shared" si="2"/>
        <v/>
      </c>
      <c r="AB17" s="11" t="str">
        <f t="shared" si="2"/>
        <v/>
      </c>
    </row>
    <row r="18" spans="1:28" ht="18" customHeight="1">
      <c r="A18" s="25" t="s">
        <v>33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</row>
    <row r="19" spans="1:28" ht="25.5" customHeight="1">
      <c r="A19" s="6">
        <v>8</v>
      </c>
      <c r="B19" s="7" t="s">
        <v>34</v>
      </c>
      <c r="C19" s="8" t="s">
        <v>24</v>
      </c>
      <c r="D19" s="7" t="s">
        <v>35</v>
      </c>
      <c r="E19" s="9">
        <v>46286</v>
      </c>
      <c r="F19" s="9">
        <v>46287</v>
      </c>
      <c r="G19" s="8">
        <f t="shared" ref="G19:G24" si="3">F19-E19+1</f>
        <v>2</v>
      </c>
      <c r="H19" s="10">
        <v>1</v>
      </c>
      <c r="I19" s="11" t="str">
        <f t="shared" ref="I19:R24" si="4">IF(AND(I$9&gt;=$E19,I$9&lt;=$F19),1,"")</f>
        <v/>
      </c>
      <c r="J19" s="12" t="str">
        <f t="shared" si="4"/>
        <v/>
      </c>
      <c r="K19" s="12" t="str">
        <f t="shared" si="4"/>
        <v/>
      </c>
      <c r="L19" s="11">
        <f t="shared" si="4"/>
        <v>1</v>
      </c>
      <c r="M19" s="11">
        <f t="shared" si="4"/>
        <v>1</v>
      </c>
      <c r="N19" s="11" t="str">
        <f t="shared" si="4"/>
        <v/>
      </c>
      <c r="O19" s="11" t="str">
        <f t="shared" si="4"/>
        <v/>
      </c>
      <c r="P19" s="11" t="str">
        <f t="shared" si="4"/>
        <v/>
      </c>
      <c r="Q19" s="12" t="str">
        <f t="shared" si="4"/>
        <v/>
      </c>
      <c r="R19" s="12" t="str">
        <f t="shared" si="4"/>
        <v/>
      </c>
      <c r="S19" s="11" t="str">
        <f t="shared" ref="S19:AB24" si="5">IF(AND(S$9&gt;=$E19,S$9&lt;=$F19),1,"")</f>
        <v/>
      </c>
      <c r="T19" s="11" t="str">
        <f t="shared" si="5"/>
        <v/>
      </c>
      <c r="U19" s="11" t="str">
        <f t="shared" si="5"/>
        <v/>
      </c>
      <c r="V19" s="11" t="str">
        <f t="shared" si="5"/>
        <v/>
      </c>
      <c r="W19" s="11" t="str">
        <f t="shared" si="5"/>
        <v/>
      </c>
      <c r="X19" s="12" t="str">
        <f t="shared" si="5"/>
        <v/>
      </c>
      <c r="Y19" s="12" t="str">
        <f t="shared" si="5"/>
        <v/>
      </c>
      <c r="Z19" s="11" t="str">
        <f t="shared" si="5"/>
        <v/>
      </c>
      <c r="AA19" s="11" t="str">
        <f t="shared" si="5"/>
        <v/>
      </c>
      <c r="AB19" s="11" t="str">
        <f t="shared" si="5"/>
        <v/>
      </c>
    </row>
    <row r="20" spans="1:28" ht="25.5" customHeight="1">
      <c r="A20" s="6">
        <v>9</v>
      </c>
      <c r="B20" s="7" t="s">
        <v>36</v>
      </c>
      <c r="C20" s="8" t="s">
        <v>24</v>
      </c>
      <c r="D20" s="7" t="s">
        <v>37</v>
      </c>
      <c r="E20" s="9">
        <v>46287</v>
      </c>
      <c r="F20" s="9">
        <v>46288</v>
      </c>
      <c r="G20" s="8">
        <f t="shared" si="3"/>
        <v>2</v>
      </c>
      <c r="H20" s="10">
        <v>1</v>
      </c>
      <c r="I20" s="11" t="str">
        <f t="shared" si="4"/>
        <v/>
      </c>
      <c r="J20" s="12" t="str">
        <f t="shared" si="4"/>
        <v/>
      </c>
      <c r="K20" s="12" t="str">
        <f t="shared" si="4"/>
        <v/>
      </c>
      <c r="L20" s="11" t="str">
        <f t="shared" si="4"/>
        <v/>
      </c>
      <c r="M20" s="11">
        <f t="shared" si="4"/>
        <v>1</v>
      </c>
      <c r="N20" s="11">
        <f t="shared" si="4"/>
        <v>1</v>
      </c>
      <c r="O20" s="11" t="str">
        <f t="shared" si="4"/>
        <v/>
      </c>
      <c r="P20" s="11" t="str">
        <f t="shared" si="4"/>
        <v/>
      </c>
      <c r="Q20" s="12" t="str">
        <f t="shared" si="4"/>
        <v/>
      </c>
      <c r="R20" s="12" t="str">
        <f t="shared" si="4"/>
        <v/>
      </c>
      <c r="S20" s="11" t="str">
        <f t="shared" si="5"/>
        <v/>
      </c>
      <c r="T20" s="11" t="str">
        <f t="shared" si="5"/>
        <v/>
      </c>
      <c r="U20" s="11" t="str">
        <f t="shared" si="5"/>
        <v/>
      </c>
      <c r="V20" s="11" t="str">
        <f t="shared" si="5"/>
        <v/>
      </c>
      <c r="W20" s="11" t="str">
        <f t="shared" si="5"/>
        <v/>
      </c>
      <c r="X20" s="12" t="str">
        <f t="shared" si="5"/>
        <v/>
      </c>
      <c r="Y20" s="12" t="str">
        <f t="shared" si="5"/>
        <v/>
      </c>
      <c r="Z20" s="11" t="str">
        <f t="shared" si="5"/>
        <v/>
      </c>
      <c r="AA20" s="11" t="str">
        <f t="shared" si="5"/>
        <v/>
      </c>
      <c r="AB20" s="11" t="str">
        <f t="shared" si="5"/>
        <v/>
      </c>
    </row>
    <row r="21" spans="1:28" ht="25.5" customHeight="1">
      <c r="A21" s="6">
        <v>10</v>
      </c>
      <c r="B21" s="7" t="s">
        <v>38</v>
      </c>
      <c r="C21" s="8" t="s">
        <v>27</v>
      </c>
      <c r="D21" s="7" t="s">
        <v>39</v>
      </c>
      <c r="E21" s="9">
        <v>46286</v>
      </c>
      <c r="F21" s="9">
        <v>46287</v>
      </c>
      <c r="G21" s="8">
        <f t="shared" si="3"/>
        <v>2</v>
      </c>
      <c r="H21" s="10">
        <v>1</v>
      </c>
      <c r="I21" s="11" t="str">
        <f t="shared" si="4"/>
        <v/>
      </c>
      <c r="J21" s="12" t="str">
        <f t="shared" si="4"/>
        <v/>
      </c>
      <c r="K21" s="12" t="str">
        <f t="shared" si="4"/>
        <v/>
      </c>
      <c r="L21" s="11">
        <f t="shared" si="4"/>
        <v>1</v>
      </c>
      <c r="M21" s="11">
        <f t="shared" si="4"/>
        <v>1</v>
      </c>
      <c r="N21" s="11" t="str">
        <f t="shared" si="4"/>
        <v/>
      </c>
      <c r="O21" s="11" t="str">
        <f t="shared" si="4"/>
        <v/>
      </c>
      <c r="P21" s="11" t="str">
        <f t="shared" si="4"/>
        <v/>
      </c>
      <c r="Q21" s="12" t="str">
        <f t="shared" si="4"/>
        <v/>
      </c>
      <c r="R21" s="12" t="str">
        <f t="shared" si="4"/>
        <v/>
      </c>
      <c r="S21" s="11" t="str">
        <f t="shared" si="5"/>
        <v/>
      </c>
      <c r="T21" s="11" t="str">
        <f t="shared" si="5"/>
        <v/>
      </c>
      <c r="U21" s="11" t="str">
        <f t="shared" si="5"/>
        <v/>
      </c>
      <c r="V21" s="11" t="str">
        <f t="shared" si="5"/>
        <v/>
      </c>
      <c r="W21" s="11" t="str">
        <f t="shared" si="5"/>
        <v/>
      </c>
      <c r="X21" s="12" t="str">
        <f t="shared" si="5"/>
        <v/>
      </c>
      <c r="Y21" s="12" t="str">
        <f t="shared" si="5"/>
        <v/>
      </c>
      <c r="Z21" s="11" t="str">
        <f t="shared" si="5"/>
        <v/>
      </c>
      <c r="AA21" s="11" t="str">
        <f t="shared" si="5"/>
        <v/>
      </c>
      <c r="AB21" s="11" t="str">
        <f t="shared" si="5"/>
        <v/>
      </c>
    </row>
    <row r="22" spans="1:28" ht="25.5" customHeight="1">
      <c r="A22" s="6">
        <v>11</v>
      </c>
      <c r="B22" s="7" t="s">
        <v>40</v>
      </c>
      <c r="C22" s="8" t="s">
        <v>27</v>
      </c>
      <c r="D22" s="7" t="s">
        <v>41</v>
      </c>
      <c r="E22" s="9">
        <v>46287</v>
      </c>
      <c r="F22" s="9">
        <v>46288</v>
      </c>
      <c r="G22" s="8">
        <f t="shared" si="3"/>
        <v>2</v>
      </c>
      <c r="H22" s="10">
        <v>1</v>
      </c>
      <c r="I22" s="11" t="str">
        <f t="shared" si="4"/>
        <v/>
      </c>
      <c r="J22" s="12" t="str">
        <f t="shared" si="4"/>
        <v/>
      </c>
      <c r="K22" s="12" t="str">
        <f t="shared" si="4"/>
        <v/>
      </c>
      <c r="L22" s="11" t="str">
        <f t="shared" si="4"/>
        <v/>
      </c>
      <c r="M22" s="11">
        <f t="shared" si="4"/>
        <v>1</v>
      </c>
      <c r="N22" s="11">
        <f t="shared" si="4"/>
        <v>1</v>
      </c>
      <c r="O22" s="11" t="str">
        <f t="shared" si="4"/>
        <v/>
      </c>
      <c r="P22" s="11" t="str">
        <f t="shared" si="4"/>
        <v/>
      </c>
      <c r="Q22" s="12" t="str">
        <f t="shared" si="4"/>
        <v/>
      </c>
      <c r="R22" s="12" t="str">
        <f t="shared" si="4"/>
        <v/>
      </c>
      <c r="S22" s="11" t="str">
        <f t="shared" si="5"/>
        <v/>
      </c>
      <c r="T22" s="11" t="str">
        <f t="shared" si="5"/>
        <v/>
      </c>
      <c r="U22" s="11" t="str">
        <f t="shared" si="5"/>
        <v/>
      </c>
      <c r="V22" s="11" t="str">
        <f t="shared" si="5"/>
        <v/>
      </c>
      <c r="W22" s="11" t="str">
        <f t="shared" si="5"/>
        <v/>
      </c>
      <c r="X22" s="12" t="str">
        <f t="shared" si="5"/>
        <v/>
      </c>
      <c r="Y22" s="12" t="str">
        <f t="shared" si="5"/>
        <v/>
      </c>
      <c r="Z22" s="11" t="str">
        <f t="shared" si="5"/>
        <v/>
      </c>
      <c r="AA22" s="11" t="str">
        <f t="shared" si="5"/>
        <v/>
      </c>
      <c r="AB22" s="11" t="str">
        <f t="shared" si="5"/>
        <v/>
      </c>
    </row>
    <row r="23" spans="1:28" ht="25.5" customHeight="1">
      <c r="A23" s="6">
        <v>12</v>
      </c>
      <c r="B23" s="7" t="s">
        <v>42</v>
      </c>
      <c r="C23" s="8" t="s">
        <v>19</v>
      </c>
      <c r="D23" s="7" t="s">
        <v>43</v>
      </c>
      <c r="E23" s="9">
        <v>46288</v>
      </c>
      <c r="F23" s="9">
        <v>46288</v>
      </c>
      <c r="G23" s="8">
        <f t="shared" si="3"/>
        <v>1</v>
      </c>
      <c r="H23" s="10">
        <v>1</v>
      </c>
      <c r="I23" s="11" t="str">
        <f t="shared" si="4"/>
        <v/>
      </c>
      <c r="J23" s="12" t="str">
        <f t="shared" si="4"/>
        <v/>
      </c>
      <c r="K23" s="12" t="str">
        <f t="shared" si="4"/>
        <v/>
      </c>
      <c r="L23" s="11" t="str">
        <f t="shared" si="4"/>
        <v/>
      </c>
      <c r="M23" s="11" t="str">
        <f t="shared" si="4"/>
        <v/>
      </c>
      <c r="N23" s="11">
        <f t="shared" si="4"/>
        <v>1</v>
      </c>
      <c r="O23" s="11" t="str">
        <f t="shared" si="4"/>
        <v/>
      </c>
      <c r="P23" s="11" t="str">
        <f t="shared" si="4"/>
        <v/>
      </c>
      <c r="Q23" s="12" t="str">
        <f t="shared" si="4"/>
        <v/>
      </c>
      <c r="R23" s="12" t="str">
        <f t="shared" si="4"/>
        <v/>
      </c>
      <c r="S23" s="11" t="str">
        <f t="shared" si="5"/>
        <v/>
      </c>
      <c r="T23" s="11" t="str">
        <f t="shared" si="5"/>
        <v/>
      </c>
      <c r="U23" s="11" t="str">
        <f t="shared" si="5"/>
        <v/>
      </c>
      <c r="V23" s="11" t="str">
        <f t="shared" si="5"/>
        <v/>
      </c>
      <c r="W23" s="11" t="str">
        <f t="shared" si="5"/>
        <v/>
      </c>
      <c r="X23" s="12" t="str">
        <f t="shared" si="5"/>
        <v/>
      </c>
      <c r="Y23" s="12" t="str">
        <f t="shared" si="5"/>
        <v/>
      </c>
      <c r="Z23" s="11" t="str">
        <f t="shared" si="5"/>
        <v/>
      </c>
      <c r="AA23" s="11" t="str">
        <f t="shared" si="5"/>
        <v/>
      </c>
      <c r="AB23" s="11" t="str">
        <f t="shared" si="5"/>
        <v/>
      </c>
    </row>
    <row r="24" spans="1:28" ht="25.5" customHeight="1">
      <c r="A24" s="6">
        <v>13</v>
      </c>
      <c r="B24" s="7" t="s">
        <v>44</v>
      </c>
      <c r="C24" s="8" t="s">
        <v>19</v>
      </c>
      <c r="D24" s="7" t="s">
        <v>45</v>
      </c>
      <c r="E24" s="9">
        <v>46288</v>
      </c>
      <c r="F24" s="9">
        <v>46288</v>
      </c>
      <c r="G24" s="8">
        <f t="shared" si="3"/>
        <v>1</v>
      </c>
      <c r="H24" s="10">
        <v>1</v>
      </c>
      <c r="I24" s="11" t="str">
        <f t="shared" si="4"/>
        <v/>
      </c>
      <c r="J24" s="12" t="str">
        <f t="shared" si="4"/>
        <v/>
      </c>
      <c r="K24" s="12" t="str">
        <f t="shared" si="4"/>
        <v/>
      </c>
      <c r="L24" s="11" t="str">
        <f t="shared" si="4"/>
        <v/>
      </c>
      <c r="M24" s="11" t="str">
        <f t="shared" si="4"/>
        <v/>
      </c>
      <c r="N24" s="11">
        <f t="shared" si="4"/>
        <v>1</v>
      </c>
      <c r="O24" s="11" t="str">
        <f t="shared" si="4"/>
        <v/>
      </c>
      <c r="P24" s="11" t="str">
        <f t="shared" si="4"/>
        <v/>
      </c>
      <c r="Q24" s="12" t="str">
        <f t="shared" si="4"/>
        <v/>
      </c>
      <c r="R24" s="12" t="str">
        <f t="shared" si="4"/>
        <v/>
      </c>
      <c r="S24" s="11" t="str">
        <f t="shared" si="5"/>
        <v/>
      </c>
      <c r="T24" s="11" t="str">
        <f t="shared" si="5"/>
        <v/>
      </c>
      <c r="U24" s="11" t="str">
        <f t="shared" si="5"/>
        <v/>
      </c>
      <c r="V24" s="11" t="str">
        <f t="shared" si="5"/>
        <v/>
      </c>
      <c r="W24" s="11" t="str">
        <f t="shared" si="5"/>
        <v/>
      </c>
      <c r="X24" s="12" t="str">
        <f t="shared" si="5"/>
        <v/>
      </c>
      <c r="Y24" s="12" t="str">
        <f t="shared" si="5"/>
        <v/>
      </c>
      <c r="Z24" s="11" t="str">
        <f t="shared" si="5"/>
        <v/>
      </c>
      <c r="AA24" s="11" t="str">
        <f t="shared" si="5"/>
        <v/>
      </c>
      <c r="AB24" s="11" t="str">
        <f t="shared" si="5"/>
        <v/>
      </c>
    </row>
    <row r="25" spans="1:28" ht="18" customHeight="1">
      <c r="A25" s="25" t="s">
        <v>46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</row>
    <row r="26" spans="1:28" ht="25.5" customHeight="1">
      <c r="A26" s="6">
        <v>14</v>
      </c>
      <c r="B26" s="7" t="s">
        <v>47</v>
      </c>
      <c r="C26" s="8" t="s">
        <v>30</v>
      </c>
      <c r="D26" s="7" t="s">
        <v>48</v>
      </c>
      <c r="E26" s="9">
        <v>46289</v>
      </c>
      <c r="F26" s="9">
        <v>46290</v>
      </c>
      <c r="G26" s="8">
        <f>F26-E26+1</f>
        <v>2</v>
      </c>
      <c r="H26" s="10">
        <v>1</v>
      </c>
      <c r="I26" s="11" t="str">
        <f t="shared" ref="I26:R30" si="6">IF(AND(I$9&gt;=$E26,I$9&lt;=$F26),1,"")</f>
        <v/>
      </c>
      <c r="J26" s="12" t="str">
        <f t="shared" si="6"/>
        <v/>
      </c>
      <c r="K26" s="12" t="str">
        <f t="shared" si="6"/>
        <v/>
      </c>
      <c r="L26" s="11" t="str">
        <f t="shared" si="6"/>
        <v/>
      </c>
      <c r="M26" s="11" t="str">
        <f t="shared" si="6"/>
        <v/>
      </c>
      <c r="N26" s="11" t="str">
        <f t="shared" si="6"/>
        <v/>
      </c>
      <c r="O26" s="11">
        <f t="shared" si="6"/>
        <v>1</v>
      </c>
      <c r="P26" s="11">
        <f t="shared" si="6"/>
        <v>1</v>
      </c>
      <c r="Q26" s="12" t="str">
        <f t="shared" si="6"/>
        <v/>
      </c>
      <c r="R26" s="12" t="str">
        <f t="shared" si="6"/>
        <v/>
      </c>
      <c r="S26" s="11" t="str">
        <f t="shared" ref="S26:AB30" si="7">IF(AND(S$9&gt;=$E26,S$9&lt;=$F26),1,"")</f>
        <v/>
      </c>
      <c r="T26" s="11" t="str">
        <f t="shared" si="7"/>
        <v/>
      </c>
      <c r="U26" s="11" t="str">
        <f t="shared" si="7"/>
        <v/>
      </c>
      <c r="V26" s="11" t="str">
        <f t="shared" si="7"/>
        <v/>
      </c>
      <c r="W26" s="11" t="str">
        <f t="shared" si="7"/>
        <v/>
      </c>
      <c r="X26" s="12" t="str">
        <f t="shared" si="7"/>
        <v/>
      </c>
      <c r="Y26" s="12" t="str">
        <f t="shared" si="7"/>
        <v/>
      </c>
      <c r="Z26" s="11" t="str">
        <f t="shared" si="7"/>
        <v/>
      </c>
      <c r="AA26" s="11" t="str">
        <f t="shared" si="7"/>
        <v/>
      </c>
      <c r="AB26" s="11" t="str">
        <f t="shared" si="7"/>
        <v/>
      </c>
    </row>
    <row r="27" spans="1:28" ht="25.5" customHeight="1">
      <c r="A27" s="6">
        <v>15</v>
      </c>
      <c r="B27" s="7" t="s">
        <v>49</v>
      </c>
      <c r="C27" s="8" t="s">
        <v>32</v>
      </c>
      <c r="D27" s="7" t="s">
        <v>50</v>
      </c>
      <c r="E27" s="9">
        <v>46289</v>
      </c>
      <c r="F27" s="9">
        <v>46290</v>
      </c>
      <c r="G27" s="8">
        <f>F27-E27+1</f>
        <v>2</v>
      </c>
      <c r="H27" s="10">
        <v>1</v>
      </c>
      <c r="I27" s="11" t="str">
        <f t="shared" si="6"/>
        <v/>
      </c>
      <c r="J27" s="12" t="str">
        <f t="shared" si="6"/>
        <v/>
      </c>
      <c r="K27" s="12" t="str">
        <f t="shared" si="6"/>
        <v/>
      </c>
      <c r="L27" s="11" t="str">
        <f t="shared" si="6"/>
        <v/>
      </c>
      <c r="M27" s="11" t="str">
        <f t="shared" si="6"/>
        <v/>
      </c>
      <c r="N27" s="11" t="str">
        <f t="shared" si="6"/>
        <v/>
      </c>
      <c r="O27" s="11">
        <f t="shared" si="6"/>
        <v>1</v>
      </c>
      <c r="P27" s="11">
        <f t="shared" si="6"/>
        <v>1</v>
      </c>
      <c r="Q27" s="12" t="str">
        <f t="shared" si="6"/>
        <v/>
      </c>
      <c r="R27" s="12" t="str">
        <f t="shared" si="6"/>
        <v/>
      </c>
      <c r="S27" s="11" t="str">
        <f t="shared" si="7"/>
        <v/>
      </c>
      <c r="T27" s="11" t="str">
        <f t="shared" si="7"/>
        <v/>
      </c>
      <c r="U27" s="11" t="str">
        <f t="shared" si="7"/>
        <v/>
      </c>
      <c r="V27" s="11" t="str">
        <f t="shared" si="7"/>
        <v/>
      </c>
      <c r="W27" s="11" t="str">
        <f t="shared" si="7"/>
        <v/>
      </c>
      <c r="X27" s="12" t="str">
        <f t="shared" si="7"/>
        <v/>
      </c>
      <c r="Y27" s="12" t="str">
        <f t="shared" si="7"/>
        <v/>
      </c>
      <c r="Z27" s="11" t="str">
        <f t="shared" si="7"/>
        <v/>
      </c>
      <c r="AA27" s="11" t="str">
        <f t="shared" si="7"/>
        <v/>
      </c>
      <c r="AB27" s="11" t="str">
        <f t="shared" si="7"/>
        <v/>
      </c>
    </row>
    <row r="28" spans="1:28" ht="25.5" customHeight="1">
      <c r="A28" s="6">
        <v>16</v>
      </c>
      <c r="B28" s="7" t="s">
        <v>51</v>
      </c>
      <c r="C28" s="8" t="s">
        <v>30</v>
      </c>
      <c r="D28" s="7" t="s">
        <v>52</v>
      </c>
      <c r="E28" s="9">
        <v>46290</v>
      </c>
      <c r="F28" s="9">
        <v>46291</v>
      </c>
      <c r="G28" s="8">
        <f>F28-E28+1</f>
        <v>2</v>
      </c>
      <c r="H28" s="10">
        <v>1</v>
      </c>
      <c r="I28" s="11" t="str">
        <f t="shared" si="6"/>
        <v/>
      </c>
      <c r="J28" s="12" t="str">
        <f t="shared" si="6"/>
        <v/>
      </c>
      <c r="K28" s="12" t="str">
        <f t="shared" si="6"/>
        <v/>
      </c>
      <c r="L28" s="11" t="str">
        <f t="shared" si="6"/>
        <v/>
      </c>
      <c r="M28" s="11" t="str">
        <f t="shared" si="6"/>
        <v/>
      </c>
      <c r="N28" s="11" t="str">
        <f t="shared" si="6"/>
        <v/>
      </c>
      <c r="O28" s="11" t="str">
        <f t="shared" si="6"/>
        <v/>
      </c>
      <c r="P28" s="11">
        <f t="shared" si="6"/>
        <v>1</v>
      </c>
      <c r="Q28" s="12">
        <f t="shared" si="6"/>
        <v>1</v>
      </c>
      <c r="R28" s="12" t="str">
        <f t="shared" si="6"/>
        <v/>
      </c>
      <c r="S28" s="11" t="str">
        <f t="shared" si="7"/>
        <v/>
      </c>
      <c r="T28" s="11" t="str">
        <f t="shared" si="7"/>
        <v/>
      </c>
      <c r="U28" s="11" t="str">
        <f t="shared" si="7"/>
        <v/>
      </c>
      <c r="V28" s="11" t="str">
        <f t="shared" si="7"/>
        <v/>
      </c>
      <c r="W28" s="11" t="str">
        <f t="shared" si="7"/>
        <v/>
      </c>
      <c r="X28" s="12" t="str">
        <f t="shared" si="7"/>
        <v/>
      </c>
      <c r="Y28" s="12" t="str">
        <f t="shared" si="7"/>
        <v/>
      </c>
      <c r="Z28" s="11" t="str">
        <f t="shared" si="7"/>
        <v/>
      </c>
      <c r="AA28" s="11" t="str">
        <f t="shared" si="7"/>
        <v/>
      </c>
      <c r="AB28" s="11" t="str">
        <f t="shared" si="7"/>
        <v/>
      </c>
    </row>
    <row r="29" spans="1:28" ht="25.5" customHeight="1">
      <c r="A29" s="6">
        <v>17</v>
      </c>
      <c r="B29" s="7" t="s">
        <v>53</v>
      </c>
      <c r="C29" s="8" t="s">
        <v>32</v>
      </c>
      <c r="D29" s="7" t="s">
        <v>54</v>
      </c>
      <c r="E29" s="9">
        <v>46290</v>
      </c>
      <c r="F29" s="9">
        <v>46291</v>
      </c>
      <c r="G29" s="8">
        <f>F29-E29+1</f>
        <v>2</v>
      </c>
      <c r="H29" s="10">
        <v>1</v>
      </c>
      <c r="I29" s="11" t="str">
        <f t="shared" si="6"/>
        <v/>
      </c>
      <c r="J29" s="12" t="str">
        <f t="shared" si="6"/>
        <v/>
      </c>
      <c r="K29" s="12" t="str">
        <f t="shared" si="6"/>
        <v/>
      </c>
      <c r="L29" s="11" t="str">
        <f t="shared" si="6"/>
        <v/>
      </c>
      <c r="M29" s="11" t="str">
        <f t="shared" si="6"/>
        <v/>
      </c>
      <c r="N29" s="11" t="str">
        <f t="shared" si="6"/>
        <v/>
      </c>
      <c r="O29" s="11" t="str">
        <f t="shared" si="6"/>
        <v/>
      </c>
      <c r="P29" s="11">
        <f t="shared" si="6"/>
        <v>1</v>
      </c>
      <c r="Q29" s="12">
        <f t="shared" si="6"/>
        <v>1</v>
      </c>
      <c r="R29" s="12" t="str">
        <f t="shared" si="6"/>
        <v/>
      </c>
      <c r="S29" s="11" t="str">
        <f t="shared" si="7"/>
        <v/>
      </c>
      <c r="T29" s="11" t="str">
        <f t="shared" si="7"/>
        <v/>
      </c>
      <c r="U29" s="11" t="str">
        <f t="shared" si="7"/>
        <v/>
      </c>
      <c r="V29" s="11" t="str">
        <f t="shared" si="7"/>
        <v/>
      </c>
      <c r="W29" s="11" t="str">
        <f t="shared" si="7"/>
        <v/>
      </c>
      <c r="X29" s="12" t="str">
        <f t="shared" si="7"/>
        <v/>
      </c>
      <c r="Y29" s="12" t="str">
        <f t="shared" si="7"/>
        <v/>
      </c>
      <c r="Z29" s="11" t="str">
        <f t="shared" si="7"/>
        <v/>
      </c>
      <c r="AA29" s="11" t="str">
        <f t="shared" si="7"/>
        <v/>
      </c>
      <c r="AB29" s="11" t="str">
        <f t="shared" si="7"/>
        <v/>
      </c>
    </row>
    <row r="30" spans="1:28" ht="25.5" customHeight="1">
      <c r="A30" s="6">
        <v>18</v>
      </c>
      <c r="B30" s="7" t="s">
        <v>55</v>
      </c>
      <c r="C30" s="8" t="s">
        <v>19</v>
      </c>
      <c r="D30" s="7" t="s">
        <v>20</v>
      </c>
      <c r="E30" s="9">
        <v>46291</v>
      </c>
      <c r="F30" s="9">
        <v>46291</v>
      </c>
      <c r="G30" s="8">
        <f>F30-E30+1</f>
        <v>1</v>
      </c>
      <c r="H30" s="10">
        <v>1</v>
      </c>
      <c r="I30" s="11" t="str">
        <f t="shared" si="6"/>
        <v/>
      </c>
      <c r="J30" s="12" t="str">
        <f t="shared" si="6"/>
        <v/>
      </c>
      <c r="K30" s="12" t="str">
        <f t="shared" si="6"/>
        <v/>
      </c>
      <c r="L30" s="11" t="str">
        <f t="shared" si="6"/>
        <v/>
      </c>
      <c r="M30" s="11" t="str">
        <f t="shared" si="6"/>
        <v/>
      </c>
      <c r="N30" s="11" t="str">
        <f t="shared" si="6"/>
        <v/>
      </c>
      <c r="O30" s="11" t="str">
        <f t="shared" si="6"/>
        <v/>
      </c>
      <c r="P30" s="11" t="str">
        <f t="shared" si="6"/>
        <v/>
      </c>
      <c r="Q30" s="12">
        <f t="shared" si="6"/>
        <v>1</v>
      </c>
      <c r="R30" s="12" t="str">
        <f t="shared" si="6"/>
        <v/>
      </c>
      <c r="S30" s="11" t="str">
        <f t="shared" si="7"/>
        <v/>
      </c>
      <c r="T30" s="11" t="str">
        <f t="shared" si="7"/>
        <v/>
      </c>
      <c r="U30" s="11" t="str">
        <f t="shared" si="7"/>
        <v/>
      </c>
      <c r="V30" s="11" t="str">
        <f t="shared" si="7"/>
        <v/>
      </c>
      <c r="W30" s="11" t="str">
        <f t="shared" si="7"/>
        <v/>
      </c>
      <c r="X30" s="12" t="str">
        <f t="shared" si="7"/>
        <v/>
      </c>
      <c r="Y30" s="12" t="str">
        <f t="shared" si="7"/>
        <v/>
      </c>
      <c r="Z30" s="11" t="str">
        <f t="shared" si="7"/>
        <v/>
      </c>
      <c r="AA30" s="11" t="str">
        <f t="shared" si="7"/>
        <v/>
      </c>
      <c r="AB30" s="11" t="str">
        <f t="shared" si="7"/>
        <v/>
      </c>
    </row>
    <row r="31" spans="1:28" ht="18" customHeight="1">
      <c r="A31" s="25" t="s">
        <v>56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</row>
    <row r="32" spans="1:28" ht="25.5" customHeight="1">
      <c r="A32" s="6">
        <v>19</v>
      </c>
      <c r="B32" s="7" t="s">
        <v>57</v>
      </c>
      <c r="C32" s="8" t="s">
        <v>30</v>
      </c>
      <c r="D32" s="7" t="s">
        <v>58</v>
      </c>
      <c r="E32" s="9">
        <v>46292</v>
      </c>
      <c r="F32" s="9">
        <v>46293</v>
      </c>
      <c r="G32" s="8">
        <f t="shared" ref="G32:G38" si="8">F32-E32+1</f>
        <v>2</v>
      </c>
      <c r="H32" s="10">
        <v>1</v>
      </c>
      <c r="I32" s="11" t="str">
        <f t="shared" ref="I32:R38" si="9">IF(AND(I$9&gt;=$E32,I$9&lt;=$F32),1,"")</f>
        <v/>
      </c>
      <c r="J32" s="12" t="str">
        <f t="shared" si="9"/>
        <v/>
      </c>
      <c r="K32" s="12" t="str">
        <f t="shared" si="9"/>
        <v/>
      </c>
      <c r="L32" s="11" t="str">
        <f t="shared" si="9"/>
        <v/>
      </c>
      <c r="M32" s="11" t="str">
        <f t="shared" si="9"/>
        <v/>
      </c>
      <c r="N32" s="11" t="str">
        <f t="shared" si="9"/>
        <v/>
      </c>
      <c r="O32" s="11" t="str">
        <f t="shared" si="9"/>
        <v/>
      </c>
      <c r="P32" s="11" t="str">
        <f t="shared" si="9"/>
        <v/>
      </c>
      <c r="Q32" s="12" t="str">
        <f t="shared" si="9"/>
        <v/>
      </c>
      <c r="R32" s="12">
        <f t="shared" si="9"/>
        <v>1</v>
      </c>
      <c r="S32" s="11">
        <f t="shared" ref="S32:AB38" si="10">IF(AND(S$9&gt;=$E32,S$9&lt;=$F32),1,"")</f>
        <v>1</v>
      </c>
      <c r="T32" s="11" t="str">
        <f t="shared" si="10"/>
        <v/>
      </c>
      <c r="U32" s="11" t="str">
        <f t="shared" si="10"/>
        <v/>
      </c>
      <c r="V32" s="11" t="str">
        <f t="shared" si="10"/>
        <v/>
      </c>
      <c r="W32" s="11" t="str">
        <f t="shared" si="10"/>
        <v/>
      </c>
      <c r="X32" s="12" t="str">
        <f t="shared" si="10"/>
        <v/>
      </c>
      <c r="Y32" s="12" t="str">
        <f t="shared" si="10"/>
        <v/>
      </c>
      <c r="Z32" s="11" t="str">
        <f t="shared" si="10"/>
        <v/>
      </c>
      <c r="AA32" s="11" t="str">
        <f t="shared" si="10"/>
        <v/>
      </c>
      <c r="AB32" s="11" t="str">
        <f t="shared" si="10"/>
        <v/>
      </c>
    </row>
    <row r="33" spans="1:28" ht="25.5" customHeight="1">
      <c r="A33" s="6">
        <v>20</v>
      </c>
      <c r="B33" s="7" t="s">
        <v>59</v>
      </c>
      <c r="C33" s="8" t="s">
        <v>32</v>
      </c>
      <c r="D33" s="7" t="s">
        <v>60</v>
      </c>
      <c r="E33" s="9">
        <v>46292</v>
      </c>
      <c r="F33" s="9">
        <v>46293</v>
      </c>
      <c r="G33" s="8">
        <f t="shared" si="8"/>
        <v>2</v>
      </c>
      <c r="H33" s="10">
        <v>1</v>
      </c>
      <c r="I33" s="11" t="str">
        <f t="shared" si="9"/>
        <v/>
      </c>
      <c r="J33" s="12" t="str">
        <f t="shared" si="9"/>
        <v/>
      </c>
      <c r="K33" s="12" t="str">
        <f t="shared" si="9"/>
        <v/>
      </c>
      <c r="L33" s="11" t="str">
        <f t="shared" si="9"/>
        <v/>
      </c>
      <c r="M33" s="11" t="str">
        <f t="shared" si="9"/>
        <v/>
      </c>
      <c r="N33" s="11" t="str">
        <f t="shared" si="9"/>
        <v/>
      </c>
      <c r="O33" s="11" t="str">
        <f t="shared" si="9"/>
        <v/>
      </c>
      <c r="P33" s="11" t="str">
        <f t="shared" si="9"/>
        <v/>
      </c>
      <c r="Q33" s="12" t="str">
        <f t="shared" si="9"/>
        <v/>
      </c>
      <c r="R33" s="12">
        <f t="shared" si="9"/>
        <v>1</v>
      </c>
      <c r="S33" s="11">
        <f t="shared" si="10"/>
        <v>1</v>
      </c>
      <c r="T33" s="11" t="str">
        <f t="shared" si="10"/>
        <v/>
      </c>
      <c r="U33" s="11" t="str">
        <f t="shared" si="10"/>
        <v/>
      </c>
      <c r="V33" s="11" t="str">
        <f t="shared" si="10"/>
        <v/>
      </c>
      <c r="W33" s="11" t="str">
        <f t="shared" si="10"/>
        <v/>
      </c>
      <c r="X33" s="12" t="str">
        <f t="shared" si="10"/>
        <v/>
      </c>
      <c r="Y33" s="12" t="str">
        <f t="shared" si="10"/>
        <v/>
      </c>
      <c r="Z33" s="11" t="str">
        <f t="shared" si="10"/>
        <v/>
      </c>
      <c r="AA33" s="11" t="str">
        <f t="shared" si="10"/>
        <v/>
      </c>
      <c r="AB33" s="11" t="str">
        <f t="shared" si="10"/>
        <v/>
      </c>
    </row>
    <row r="34" spans="1:28" ht="25.5" customHeight="1">
      <c r="A34" s="6">
        <v>21</v>
      </c>
      <c r="B34" s="7" t="s">
        <v>61</v>
      </c>
      <c r="C34" s="8" t="s">
        <v>30</v>
      </c>
      <c r="D34" s="7" t="s">
        <v>62</v>
      </c>
      <c r="E34" s="9">
        <v>46293</v>
      </c>
      <c r="F34" s="9">
        <v>46294</v>
      </c>
      <c r="G34" s="8">
        <f t="shared" si="8"/>
        <v>2</v>
      </c>
      <c r="H34" s="10">
        <v>1</v>
      </c>
      <c r="I34" s="11" t="str">
        <f t="shared" si="9"/>
        <v/>
      </c>
      <c r="J34" s="12" t="str">
        <f t="shared" si="9"/>
        <v/>
      </c>
      <c r="K34" s="12" t="str">
        <f t="shared" si="9"/>
        <v/>
      </c>
      <c r="L34" s="11" t="str">
        <f t="shared" si="9"/>
        <v/>
      </c>
      <c r="M34" s="11" t="str">
        <f t="shared" si="9"/>
        <v/>
      </c>
      <c r="N34" s="11" t="str">
        <f t="shared" si="9"/>
        <v/>
      </c>
      <c r="O34" s="11" t="str">
        <f t="shared" si="9"/>
        <v/>
      </c>
      <c r="P34" s="11" t="str">
        <f t="shared" si="9"/>
        <v/>
      </c>
      <c r="Q34" s="12" t="str">
        <f t="shared" si="9"/>
        <v/>
      </c>
      <c r="R34" s="12" t="str">
        <f t="shared" si="9"/>
        <v/>
      </c>
      <c r="S34" s="11">
        <f t="shared" si="10"/>
        <v>1</v>
      </c>
      <c r="T34" s="11">
        <f t="shared" si="10"/>
        <v>1</v>
      </c>
      <c r="U34" s="11" t="str">
        <f t="shared" si="10"/>
        <v/>
      </c>
      <c r="V34" s="11" t="str">
        <f t="shared" si="10"/>
        <v/>
      </c>
      <c r="W34" s="11" t="str">
        <f t="shared" si="10"/>
        <v/>
      </c>
      <c r="X34" s="12" t="str">
        <f t="shared" si="10"/>
        <v/>
      </c>
      <c r="Y34" s="12" t="str">
        <f t="shared" si="10"/>
        <v/>
      </c>
      <c r="Z34" s="11" t="str">
        <f t="shared" si="10"/>
        <v/>
      </c>
      <c r="AA34" s="11" t="str">
        <f t="shared" si="10"/>
        <v/>
      </c>
      <c r="AB34" s="11" t="str">
        <f t="shared" si="10"/>
        <v/>
      </c>
    </row>
    <row r="35" spans="1:28" ht="25.5" customHeight="1">
      <c r="A35" s="6">
        <v>22</v>
      </c>
      <c r="B35" s="7" t="s">
        <v>63</v>
      </c>
      <c r="C35" s="8" t="s">
        <v>32</v>
      </c>
      <c r="D35" s="7" t="s">
        <v>64</v>
      </c>
      <c r="E35" s="9">
        <v>46293</v>
      </c>
      <c r="F35" s="9">
        <v>46294</v>
      </c>
      <c r="G35" s="8">
        <f t="shared" si="8"/>
        <v>2</v>
      </c>
      <c r="H35" s="10">
        <v>1</v>
      </c>
      <c r="I35" s="11" t="str">
        <f t="shared" si="9"/>
        <v/>
      </c>
      <c r="J35" s="12" t="str">
        <f t="shared" si="9"/>
        <v/>
      </c>
      <c r="K35" s="12" t="str">
        <f t="shared" si="9"/>
        <v/>
      </c>
      <c r="L35" s="11" t="str">
        <f t="shared" si="9"/>
        <v/>
      </c>
      <c r="M35" s="11" t="str">
        <f t="shared" si="9"/>
        <v/>
      </c>
      <c r="N35" s="11" t="str">
        <f t="shared" si="9"/>
        <v/>
      </c>
      <c r="O35" s="11" t="str">
        <f t="shared" si="9"/>
        <v/>
      </c>
      <c r="P35" s="11" t="str">
        <f t="shared" si="9"/>
        <v/>
      </c>
      <c r="Q35" s="12" t="str">
        <f t="shared" si="9"/>
        <v/>
      </c>
      <c r="R35" s="12" t="str">
        <f t="shared" si="9"/>
        <v/>
      </c>
      <c r="S35" s="11">
        <f t="shared" si="10"/>
        <v>1</v>
      </c>
      <c r="T35" s="11">
        <f t="shared" si="10"/>
        <v>1</v>
      </c>
      <c r="U35" s="11" t="str">
        <f t="shared" si="10"/>
        <v/>
      </c>
      <c r="V35" s="11" t="str">
        <f t="shared" si="10"/>
        <v/>
      </c>
      <c r="W35" s="11" t="str">
        <f t="shared" si="10"/>
        <v/>
      </c>
      <c r="X35" s="12" t="str">
        <f t="shared" si="10"/>
        <v/>
      </c>
      <c r="Y35" s="12" t="str">
        <f t="shared" si="10"/>
        <v/>
      </c>
      <c r="Z35" s="11" t="str">
        <f t="shared" si="10"/>
        <v/>
      </c>
      <c r="AA35" s="11" t="str">
        <f t="shared" si="10"/>
        <v/>
      </c>
      <c r="AB35" s="11" t="str">
        <f t="shared" si="10"/>
        <v/>
      </c>
    </row>
    <row r="36" spans="1:28" ht="25.5" customHeight="1">
      <c r="A36" s="6">
        <v>23</v>
      </c>
      <c r="B36" s="7" t="s">
        <v>65</v>
      </c>
      <c r="C36" s="8" t="s">
        <v>30</v>
      </c>
      <c r="D36" s="7" t="s">
        <v>66</v>
      </c>
      <c r="E36" s="9">
        <v>46294</v>
      </c>
      <c r="F36" s="9">
        <v>46295</v>
      </c>
      <c r="G36" s="8">
        <f t="shared" si="8"/>
        <v>2</v>
      </c>
      <c r="H36" s="10">
        <v>1</v>
      </c>
      <c r="I36" s="11" t="str">
        <f t="shared" si="9"/>
        <v/>
      </c>
      <c r="J36" s="12" t="str">
        <f t="shared" si="9"/>
        <v/>
      </c>
      <c r="K36" s="12" t="str">
        <f t="shared" si="9"/>
        <v/>
      </c>
      <c r="L36" s="11" t="str">
        <f t="shared" si="9"/>
        <v/>
      </c>
      <c r="M36" s="11" t="str">
        <f t="shared" si="9"/>
        <v/>
      </c>
      <c r="N36" s="11" t="str">
        <f t="shared" si="9"/>
        <v/>
      </c>
      <c r="O36" s="11" t="str">
        <f t="shared" si="9"/>
        <v/>
      </c>
      <c r="P36" s="11" t="str">
        <f t="shared" si="9"/>
        <v/>
      </c>
      <c r="Q36" s="12" t="str">
        <f t="shared" si="9"/>
        <v/>
      </c>
      <c r="R36" s="12" t="str">
        <f t="shared" si="9"/>
        <v/>
      </c>
      <c r="S36" s="11" t="str">
        <f t="shared" si="10"/>
        <v/>
      </c>
      <c r="T36" s="11">
        <f t="shared" si="10"/>
        <v>1</v>
      </c>
      <c r="U36" s="11">
        <f t="shared" si="10"/>
        <v>1</v>
      </c>
      <c r="V36" s="11" t="str">
        <f t="shared" si="10"/>
        <v/>
      </c>
      <c r="W36" s="11" t="str">
        <f t="shared" si="10"/>
        <v/>
      </c>
      <c r="X36" s="12" t="str">
        <f t="shared" si="10"/>
        <v/>
      </c>
      <c r="Y36" s="12" t="str">
        <f t="shared" si="10"/>
        <v/>
      </c>
      <c r="Z36" s="11" t="str">
        <f t="shared" si="10"/>
        <v/>
      </c>
      <c r="AA36" s="11" t="str">
        <f t="shared" si="10"/>
        <v/>
      </c>
      <c r="AB36" s="11" t="str">
        <f t="shared" si="10"/>
        <v/>
      </c>
    </row>
    <row r="37" spans="1:28" ht="25.5" customHeight="1">
      <c r="A37" s="6">
        <v>24</v>
      </c>
      <c r="B37" s="7" t="s">
        <v>67</v>
      </c>
      <c r="C37" s="8" t="s">
        <v>32</v>
      </c>
      <c r="D37" s="7" t="s">
        <v>68</v>
      </c>
      <c r="E37" s="9">
        <v>46294</v>
      </c>
      <c r="F37" s="9">
        <v>46295</v>
      </c>
      <c r="G37" s="8">
        <f t="shared" si="8"/>
        <v>2</v>
      </c>
      <c r="H37" s="10">
        <v>1</v>
      </c>
      <c r="I37" s="11" t="str">
        <f t="shared" si="9"/>
        <v/>
      </c>
      <c r="J37" s="12" t="str">
        <f t="shared" si="9"/>
        <v/>
      </c>
      <c r="K37" s="12" t="str">
        <f t="shared" si="9"/>
        <v/>
      </c>
      <c r="L37" s="11" t="str">
        <f t="shared" si="9"/>
        <v/>
      </c>
      <c r="M37" s="11" t="str">
        <f t="shared" si="9"/>
        <v/>
      </c>
      <c r="N37" s="11" t="str">
        <f t="shared" si="9"/>
        <v/>
      </c>
      <c r="O37" s="11" t="str">
        <f t="shared" si="9"/>
        <v/>
      </c>
      <c r="P37" s="11" t="str">
        <f t="shared" si="9"/>
        <v/>
      </c>
      <c r="Q37" s="12" t="str">
        <f t="shared" si="9"/>
        <v/>
      </c>
      <c r="R37" s="12" t="str">
        <f t="shared" si="9"/>
        <v/>
      </c>
      <c r="S37" s="11" t="str">
        <f t="shared" si="10"/>
        <v/>
      </c>
      <c r="T37" s="11">
        <f t="shared" si="10"/>
        <v>1</v>
      </c>
      <c r="U37" s="11">
        <f t="shared" si="10"/>
        <v>1</v>
      </c>
      <c r="V37" s="11" t="str">
        <f t="shared" si="10"/>
        <v/>
      </c>
      <c r="W37" s="11" t="str">
        <f t="shared" si="10"/>
        <v/>
      </c>
      <c r="X37" s="12" t="str">
        <f t="shared" si="10"/>
        <v/>
      </c>
      <c r="Y37" s="12" t="str">
        <f t="shared" si="10"/>
        <v/>
      </c>
      <c r="Z37" s="11" t="str">
        <f t="shared" si="10"/>
        <v/>
      </c>
      <c r="AA37" s="11" t="str">
        <f t="shared" si="10"/>
        <v/>
      </c>
      <c r="AB37" s="11" t="str">
        <f t="shared" si="10"/>
        <v/>
      </c>
    </row>
    <row r="38" spans="1:28" ht="25.5" customHeight="1">
      <c r="A38" s="6">
        <v>25</v>
      </c>
      <c r="B38" s="7" t="s">
        <v>69</v>
      </c>
      <c r="C38" s="8" t="s">
        <v>19</v>
      </c>
      <c r="D38" s="7" t="s">
        <v>70</v>
      </c>
      <c r="E38" s="9">
        <v>46295</v>
      </c>
      <c r="F38" s="9">
        <v>46295</v>
      </c>
      <c r="G38" s="8">
        <f t="shared" si="8"/>
        <v>1</v>
      </c>
      <c r="H38" s="10">
        <v>1</v>
      </c>
      <c r="I38" s="11" t="str">
        <f t="shared" si="9"/>
        <v/>
      </c>
      <c r="J38" s="12" t="str">
        <f t="shared" si="9"/>
        <v/>
      </c>
      <c r="K38" s="12" t="str">
        <f t="shared" si="9"/>
        <v/>
      </c>
      <c r="L38" s="11" t="str">
        <f t="shared" si="9"/>
        <v/>
      </c>
      <c r="M38" s="11" t="str">
        <f t="shared" si="9"/>
        <v/>
      </c>
      <c r="N38" s="11" t="str">
        <f t="shared" si="9"/>
        <v/>
      </c>
      <c r="O38" s="11" t="str">
        <f t="shared" si="9"/>
        <v/>
      </c>
      <c r="P38" s="11" t="str">
        <f t="shared" si="9"/>
        <v/>
      </c>
      <c r="Q38" s="12" t="str">
        <f t="shared" si="9"/>
        <v/>
      </c>
      <c r="R38" s="12" t="str">
        <f t="shared" si="9"/>
        <v/>
      </c>
      <c r="S38" s="11" t="str">
        <f t="shared" si="10"/>
        <v/>
      </c>
      <c r="T38" s="11" t="str">
        <f t="shared" si="10"/>
        <v/>
      </c>
      <c r="U38" s="11">
        <f t="shared" si="10"/>
        <v>1</v>
      </c>
      <c r="V38" s="11" t="str">
        <f t="shared" si="10"/>
        <v/>
      </c>
      <c r="W38" s="11" t="str">
        <f t="shared" si="10"/>
        <v/>
      </c>
      <c r="X38" s="12" t="str">
        <f t="shared" si="10"/>
        <v/>
      </c>
      <c r="Y38" s="12" t="str">
        <f t="shared" si="10"/>
        <v/>
      </c>
      <c r="Z38" s="11" t="str">
        <f t="shared" si="10"/>
        <v/>
      </c>
      <c r="AA38" s="11" t="str">
        <f t="shared" si="10"/>
        <v/>
      </c>
      <c r="AB38" s="11" t="str">
        <f t="shared" si="10"/>
        <v/>
      </c>
    </row>
    <row r="39" spans="1:28" ht="18" customHeight="1">
      <c r="A39" s="25" t="s">
        <v>71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</row>
    <row r="40" spans="1:28" ht="25.5" customHeight="1">
      <c r="A40" s="6">
        <v>26</v>
      </c>
      <c r="B40" s="7" t="s">
        <v>72</v>
      </c>
      <c r="C40" s="8" t="s">
        <v>24</v>
      </c>
      <c r="D40" s="7" t="s">
        <v>73</v>
      </c>
      <c r="E40" s="9">
        <v>46296</v>
      </c>
      <c r="F40" s="9">
        <v>46297</v>
      </c>
      <c r="G40" s="8">
        <f t="shared" ref="G40:G47" si="11">F40-E40+1</f>
        <v>2</v>
      </c>
      <c r="H40" s="10">
        <v>1</v>
      </c>
      <c r="I40" s="11" t="str">
        <f t="shared" ref="I40:R47" si="12">IF(AND(I$9&gt;=$E40,I$9&lt;=$F40),1,"")</f>
        <v/>
      </c>
      <c r="J40" s="12" t="str">
        <f t="shared" si="12"/>
        <v/>
      </c>
      <c r="K40" s="12" t="str">
        <f t="shared" si="12"/>
        <v/>
      </c>
      <c r="L40" s="11" t="str">
        <f t="shared" si="12"/>
        <v/>
      </c>
      <c r="M40" s="11" t="str">
        <f t="shared" si="12"/>
        <v/>
      </c>
      <c r="N40" s="11" t="str">
        <f t="shared" si="12"/>
        <v/>
      </c>
      <c r="O40" s="11" t="str">
        <f t="shared" si="12"/>
        <v/>
      </c>
      <c r="P40" s="11" t="str">
        <f t="shared" si="12"/>
        <v/>
      </c>
      <c r="Q40" s="12" t="str">
        <f t="shared" si="12"/>
        <v/>
      </c>
      <c r="R40" s="12" t="str">
        <f t="shared" si="12"/>
        <v/>
      </c>
      <c r="S40" s="11" t="str">
        <f t="shared" ref="S40:AB47" si="13">IF(AND(S$9&gt;=$E40,S$9&lt;=$F40),1,"")</f>
        <v/>
      </c>
      <c r="T40" s="11" t="str">
        <f t="shared" si="13"/>
        <v/>
      </c>
      <c r="U40" s="11" t="str">
        <f t="shared" si="13"/>
        <v/>
      </c>
      <c r="V40" s="11">
        <f t="shared" si="13"/>
        <v>1</v>
      </c>
      <c r="W40" s="11">
        <f t="shared" si="13"/>
        <v>1</v>
      </c>
      <c r="X40" s="12" t="str">
        <f t="shared" si="13"/>
        <v/>
      </c>
      <c r="Y40" s="12" t="str">
        <f t="shared" si="13"/>
        <v/>
      </c>
      <c r="Z40" s="11" t="str">
        <f t="shared" si="13"/>
        <v/>
      </c>
      <c r="AA40" s="11" t="str">
        <f t="shared" si="13"/>
        <v/>
      </c>
      <c r="AB40" s="11" t="str">
        <f t="shared" si="13"/>
        <v/>
      </c>
    </row>
    <row r="41" spans="1:28" ht="25.5" customHeight="1">
      <c r="A41" s="6">
        <v>27</v>
      </c>
      <c r="B41" s="7" t="s">
        <v>74</v>
      </c>
      <c r="C41" s="8" t="s">
        <v>30</v>
      </c>
      <c r="D41" s="7" t="s">
        <v>73</v>
      </c>
      <c r="E41" s="9">
        <v>46296</v>
      </c>
      <c r="F41" s="9">
        <v>46297</v>
      </c>
      <c r="G41" s="8">
        <f t="shared" si="11"/>
        <v>2</v>
      </c>
      <c r="H41" s="10">
        <v>1</v>
      </c>
      <c r="I41" s="11" t="str">
        <f t="shared" si="12"/>
        <v/>
      </c>
      <c r="J41" s="12" t="str">
        <f t="shared" si="12"/>
        <v/>
      </c>
      <c r="K41" s="12" t="str">
        <f t="shared" si="12"/>
        <v/>
      </c>
      <c r="L41" s="11" t="str">
        <f t="shared" si="12"/>
        <v/>
      </c>
      <c r="M41" s="11" t="str">
        <f t="shared" si="12"/>
        <v/>
      </c>
      <c r="N41" s="11" t="str">
        <f t="shared" si="12"/>
        <v/>
      </c>
      <c r="O41" s="11" t="str">
        <f t="shared" si="12"/>
        <v/>
      </c>
      <c r="P41" s="11" t="str">
        <f t="shared" si="12"/>
        <v/>
      </c>
      <c r="Q41" s="12" t="str">
        <f t="shared" si="12"/>
        <v/>
      </c>
      <c r="R41" s="12" t="str">
        <f t="shared" si="12"/>
        <v/>
      </c>
      <c r="S41" s="11" t="str">
        <f t="shared" si="13"/>
        <v/>
      </c>
      <c r="T41" s="11" t="str">
        <f t="shared" si="13"/>
        <v/>
      </c>
      <c r="U41" s="11" t="str">
        <f t="shared" si="13"/>
        <v/>
      </c>
      <c r="V41" s="11">
        <f t="shared" si="13"/>
        <v>1</v>
      </c>
      <c r="W41" s="11">
        <f t="shared" si="13"/>
        <v>1</v>
      </c>
      <c r="X41" s="12" t="str">
        <f t="shared" si="13"/>
        <v/>
      </c>
      <c r="Y41" s="12" t="str">
        <f t="shared" si="13"/>
        <v/>
      </c>
      <c r="Z41" s="11" t="str">
        <f t="shared" si="13"/>
        <v/>
      </c>
      <c r="AA41" s="11" t="str">
        <f t="shared" si="13"/>
        <v/>
      </c>
      <c r="AB41" s="11" t="str">
        <f t="shared" si="13"/>
        <v/>
      </c>
    </row>
    <row r="42" spans="1:28" ht="25.5" customHeight="1">
      <c r="A42" s="6">
        <v>28</v>
      </c>
      <c r="B42" s="7" t="s">
        <v>75</v>
      </c>
      <c r="C42" s="8" t="s">
        <v>27</v>
      </c>
      <c r="D42" s="7" t="s">
        <v>76</v>
      </c>
      <c r="E42" s="9">
        <v>46296</v>
      </c>
      <c r="F42" s="9">
        <v>46297</v>
      </c>
      <c r="G42" s="8">
        <f t="shared" si="11"/>
        <v>2</v>
      </c>
      <c r="H42" s="10">
        <v>1</v>
      </c>
      <c r="I42" s="11" t="str">
        <f t="shared" si="12"/>
        <v/>
      </c>
      <c r="J42" s="12" t="str">
        <f t="shared" si="12"/>
        <v/>
      </c>
      <c r="K42" s="12" t="str">
        <f t="shared" si="12"/>
        <v/>
      </c>
      <c r="L42" s="11" t="str">
        <f t="shared" si="12"/>
        <v/>
      </c>
      <c r="M42" s="11" t="str">
        <f t="shared" si="12"/>
        <v/>
      </c>
      <c r="N42" s="11" t="str">
        <f t="shared" si="12"/>
        <v/>
      </c>
      <c r="O42" s="11" t="str">
        <f t="shared" si="12"/>
        <v/>
      </c>
      <c r="P42" s="11" t="str">
        <f t="shared" si="12"/>
        <v/>
      </c>
      <c r="Q42" s="12" t="str">
        <f t="shared" si="12"/>
        <v/>
      </c>
      <c r="R42" s="12" t="str">
        <f t="shared" si="12"/>
        <v/>
      </c>
      <c r="S42" s="11" t="str">
        <f t="shared" si="13"/>
        <v/>
      </c>
      <c r="T42" s="11" t="str">
        <f t="shared" si="13"/>
        <v/>
      </c>
      <c r="U42" s="11" t="str">
        <f t="shared" si="13"/>
        <v/>
      </c>
      <c r="V42" s="11">
        <f t="shared" si="13"/>
        <v>1</v>
      </c>
      <c r="W42" s="11">
        <f t="shared" si="13"/>
        <v>1</v>
      </c>
      <c r="X42" s="12" t="str">
        <f t="shared" si="13"/>
        <v/>
      </c>
      <c r="Y42" s="12" t="str">
        <f t="shared" si="13"/>
        <v/>
      </c>
      <c r="Z42" s="11" t="str">
        <f t="shared" si="13"/>
        <v/>
      </c>
      <c r="AA42" s="11" t="str">
        <f t="shared" si="13"/>
        <v/>
      </c>
      <c r="AB42" s="11" t="str">
        <f t="shared" si="13"/>
        <v/>
      </c>
    </row>
    <row r="43" spans="1:28" ht="25.5" customHeight="1">
      <c r="A43" s="6">
        <v>29</v>
      </c>
      <c r="B43" s="7" t="s">
        <v>77</v>
      </c>
      <c r="C43" s="8" t="s">
        <v>32</v>
      </c>
      <c r="D43" s="7" t="s">
        <v>76</v>
      </c>
      <c r="E43" s="9">
        <v>46296</v>
      </c>
      <c r="F43" s="9">
        <v>46297</v>
      </c>
      <c r="G43" s="8">
        <f t="shared" si="11"/>
        <v>2</v>
      </c>
      <c r="H43" s="10">
        <v>1</v>
      </c>
      <c r="I43" s="11" t="str">
        <f t="shared" si="12"/>
        <v/>
      </c>
      <c r="J43" s="12" t="str">
        <f t="shared" si="12"/>
        <v/>
      </c>
      <c r="K43" s="12" t="str">
        <f t="shared" si="12"/>
        <v/>
      </c>
      <c r="L43" s="11" t="str">
        <f t="shared" si="12"/>
        <v/>
      </c>
      <c r="M43" s="11" t="str">
        <f t="shared" si="12"/>
        <v/>
      </c>
      <c r="N43" s="11" t="str">
        <f t="shared" si="12"/>
        <v/>
      </c>
      <c r="O43" s="11" t="str">
        <f t="shared" si="12"/>
        <v/>
      </c>
      <c r="P43" s="11" t="str">
        <f t="shared" si="12"/>
        <v/>
      </c>
      <c r="Q43" s="12" t="str">
        <f t="shared" si="12"/>
        <v/>
      </c>
      <c r="R43" s="12" t="str">
        <f t="shared" si="12"/>
        <v/>
      </c>
      <c r="S43" s="11" t="str">
        <f t="shared" si="13"/>
        <v/>
      </c>
      <c r="T43" s="11" t="str">
        <f t="shared" si="13"/>
        <v/>
      </c>
      <c r="U43" s="11" t="str">
        <f t="shared" si="13"/>
        <v/>
      </c>
      <c r="V43" s="11">
        <f t="shared" si="13"/>
        <v>1</v>
      </c>
      <c r="W43" s="11">
        <f t="shared" si="13"/>
        <v>1</v>
      </c>
      <c r="X43" s="12" t="str">
        <f t="shared" si="13"/>
        <v/>
      </c>
      <c r="Y43" s="12" t="str">
        <f t="shared" si="13"/>
        <v/>
      </c>
      <c r="Z43" s="11" t="str">
        <f t="shared" si="13"/>
        <v/>
      </c>
      <c r="AA43" s="11" t="str">
        <f t="shared" si="13"/>
        <v/>
      </c>
      <c r="AB43" s="11" t="str">
        <f t="shared" si="13"/>
        <v/>
      </c>
    </row>
    <row r="44" spans="1:28" ht="25.5" customHeight="1">
      <c r="A44" s="6">
        <v>30</v>
      </c>
      <c r="B44" s="7" t="s">
        <v>78</v>
      </c>
      <c r="C44" s="8" t="s">
        <v>19</v>
      </c>
      <c r="D44" s="7" t="s">
        <v>79</v>
      </c>
      <c r="E44" s="9">
        <v>46297</v>
      </c>
      <c r="F44" s="9">
        <v>46298</v>
      </c>
      <c r="G44" s="8">
        <f t="shared" si="11"/>
        <v>2</v>
      </c>
      <c r="H44" s="10">
        <v>1</v>
      </c>
      <c r="I44" s="11" t="str">
        <f t="shared" si="12"/>
        <v/>
      </c>
      <c r="J44" s="12" t="str">
        <f t="shared" si="12"/>
        <v/>
      </c>
      <c r="K44" s="12" t="str">
        <f t="shared" si="12"/>
        <v/>
      </c>
      <c r="L44" s="11" t="str">
        <f t="shared" si="12"/>
        <v/>
      </c>
      <c r="M44" s="11" t="str">
        <f t="shared" si="12"/>
        <v/>
      </c>
      <c r="N44" s="11" t="str">
        <f t="shared" si="12"/>
        <v/>
      </c>
      <c r="O44" s="11" t="str">
        <f t="shared" si="12"/>
        <v/>
      </c>
      <c r="P44" s="11" t="str">
        <f t="shared" si="12"/>
        <v/>
      </c>
      <c r="Q44" s="12" t="str">
        <f t="shared" si="12"/>
        <v/>
      </c>
      <c r="R44" s="12" t="str">
        <f t="shared" si="12"/>
        <v/>
      </c>
      <c r="S44" s="11" t="str">
        <f t="shared" si="13"/>
        <v/>
      </c>
      <c r="T44" s="11" t="str">
        <f t="shared" si="13"/>
        <v/>
      </c>
      <c r="U44" s="11" t="str">
        <f t="shared" si="13"/>
        <v/>
      </c>
      <c r="V44" s="11" t="str">
        <f t="shared" si="13"/>
        <v/>
      </c>
      <c r="W44" s="11">
        <f t="shared" si="13"/>
        <v>1</v>
      </c>
      <c r="X44" s="12">
        <f t="shared" si="13"/>
        <v>1</v>
      </c>
      <c r="Y44" s="12" t="str">
        <f t="shared" si="13"/>
        <v/>
      </c>
      <c r="Z44" s="11" t="str">
        <f t="shared" si="13"/>
        <v/>
      </c>
      <c r="AA44" s="11" t="str">
        <f t="shared" si="13"/>
        <v/>
      </c>
      <c r="AB44" s="11" t="str">
        <f t="shared" si="13"/>
        <v/>
      </c>
    </row>
    <row r="45" spans="1:28" ht="25.5" customHeight="1">
      <c r="A45" s="6">
        <v>31</v>
      </c>
      <c r="B45" s="7" t="s">
        <v>80</v>
      </c>
      <c r="C45" s="8" t="s">
        <v>19</v>
      </c>
      <c r="D45" s="7" t="s">
        <v>79</v>
      </c>
      <c r="E45" s="9">
        <v>46297</v>
      </c>
      <c r="F45" s="9">
        <v>46298</v>
      </c>
      <c r="G45" s="8">
        <f t="shared" si="11"/>
        <v>2</v>
      </c>
      <c r="H45" s="10">
        <v>1</v>
      </c>
      <c r="I45" s="11" t="str">
        <f t="shared" si="12"/>
        <v/>
      </c>
      <c r="J45" s="12" t="str">
        <f t="shared" si="12"/>
        <v/>
      </c>
      <c r="K45" s="12" t="str">
        <f t="shared" si="12"/>
        <v/>
      </c>
      <c r="L45" s="11" t="str">
        <f t="shared" si="12"/>
        <v/>
      </c>
      <c r="M45" s="11" t="str">
        <f t="shared" si="12"/>
        <v/>
      </c>
      <c r="N45" s="11" t="str">
        <f t="shared" si="12"/>
        <v/>
      </c>
      <c r="O45" s="11" t="str">
        <f t="shared" si="12"/>
        <v/>
      </c>
      <c r="P45" s="11" t="str">
        <f t="shared" si="12"/>
        <v/>
      </c>
      <c r="Q45" s="12" t="str">
        <f t="shared" si="12"/>
        <v/>
      </c>
      <c r="R45" s="12" t="str">
        <f t="shared" si="12"/>
        <v/>
      </c>
      <c r="S45" s="11" t="str">
        <f t="shared" si="13"/>
        <v/>
      </c>
      <c r="T45" s="11" t="str">
        <f t="shared" si="13"/>
        <v/>
      </c>
      <c r="U45" s="11" t="str">
        <f t="shared" si="13"/>
        <v/>
      </c>
      <c r="V45" s="11" t="str">
        <f t="shared" si="13"/>
        <v/>
      </c>
      <c r="W45" s="11">
        <f t="shared" si="13"/>
        <v>1</v>
      </c>
      <c r="X45" s="12">
        <f t="shared" si="13"/>
        <v>1</v>
      </c>
      <c r="Y45" s="12" t="str">
        <f t="shared" si="13"/>
        <v/>
      </c>
      <c r="Z45" s="11" t="str">
        <f t="shared" si="13"/>
        <v/>
      </c>
      <c r="AA45" s="11" t="str">
        <f t="shared" si="13"/>
        <v/>
      </c>
      <c r="AB45" s="11" t="str">
        <f t="shared" si="13"/>
        <v/>
      </c>
    </row>
    <row r="46" spans="1:28" ht="25.5" customHeight="1">
      <c r="A46" s="6">
        <v>32</v>
      </c>
      <c r="B46" s="7" t="s">
        <v>81</v>
      </c>
      <c r="C46" s="8" t="s">
        <v>19</v>
      </c>
      <c r="D46" s="7" t="s">
        <v>82</v>
      </c>
      <c r="E46" s="9">
        <v>46298</v>
      </c>
      <c r="F46" s="9">
        <v>46299</v>
      </c>
      <c r="G46" s="8">
        <f t="shared" si="11"/>
        <v>2</v>
      </c>
      <c r="H46" s="10">
        <v>1</v>
      </c>
      <c r="I46" s="11" t="str">
        <f t="shared" si="12"/>
        <v/>
      </c>
      <c r="J46" s="12" t="str">
        <f t="shared" si="12"/>
        <v/>
      </c>
      <c r="K46" s="12" t="str">
        <f t="shared" si="12"/>
        <v/>
      </c>
      <c r="L46" s="11" t="str">
        <f t="shared" si="12"/>
        <v/>
      </c>
      <c r="M46" s="11" t="str">
        <f t="shared" si="12"/>
        <v/>
      </c>
      <c r="N46" s="11" t="str">
        <f t="shared" si="12"/>
        <v/>
      </c>
      <c r="O46" s="11" t="str">
        <f t="shared" si="12"/>
        <v/>
      </c>
      <c r="P46" s="11" t="str">
        <f t="shared" si="12"/>
        <v/>
      </c>
      <c r="Q46" s="12" t="str">
        <f t="shared" si="12"/>
        <v/>
      </c>
      <c r="R46" s="12" t="str">
        <f t="shared" si="12"/>
        <v/>
      </c>
      <c r="S46" s="11" t="str">
        <f t="shared" si="13"/>
        <v/>
      </c>
      <c r="T46" s="11" t="str">
        <f t="shared" si="13"/>
        <v/>
      </c>
      <c r="U46" s="11" t="str">
        <f t="shared" si="13"/>
        <v/>
      </c>
      <c r="V46" s="11" t="str">
        <f t="shared" si="13"/>
        <v/>
      </c>
      <c r="W46" s="11" t="str">
        <f t="shared" si="13"/>
        <v/>
      </c>
      <c r="X46" s="12">
        <f t="shared" si="13"/>
        <v>1</v>
      </c>
      <c r="Y46" s="12">
        <f t="shared" si="13"/>
        <v>1</v>
      </c>
      <c r="Z46" s="11" t="str">
        <f t="shared" si="13"/>
        <v/>
      </c>
      <c r="AA46" s="11" t="str">
        <f t="shared" si="13"/>
        <v/>
      </c>
      <c r="AB46" s="11" t="str">
        <f t="shared" si="13"/>
        <v/>
      </c>
    </row>
    <row r="47" spans="1:28" ht="25.5" customHeight="1">
      <c r="A47" s="6">
        <v>33</v>
      </c>
      <c r="B47" s="7" t="s">
        <v>83</v>
      </c>
      <c r="C47" s="8" t="s">
        <v>19</v>
      </c>
      <c r="D47" s="7" t="s">
        <v>20</v>
      </c>
      <c r="E47" s="9">
        <v>46299</v>
      </c>
      <c r="F47" s="9">
        <v>46299</v>
      </c>
      <c r="G47" s="8">
        <f t="shared" si="11"/>
        <v>1</v>
      </c>
      <c r="H47" s="10">
        <v>1</v>
      </c>
      <c r="I47" s="11" t="str">
        <f t="shared" si="12"/>
        <v/>
      </c>
      <c r="J47" s="12" t="str">
        <f t="shared" si="12"/>
        <v/>
      </c>
      <c r="K47" s="12" t="str">
        <f t="shared" si="12"/>
        <v/>
      </c>
      <c r="L47" s="11" t="str">
        <f t="shared" si="12"/>
        <v/>
      </c>
      <c r="M47" s="11" t="str">
        <f t="shared" si="12"/>
        <v/>
      </c>
      <c r="N47" s="11" t="str">
        <f t="shared" si="12"/>
        <v/>
      </c>
      <c r="O47" s="11" t="str">
        <f t="shared" si="12"/>
        <v/>
      </c>
      <c r="P47" s="11" t="str">
        <f t="shared" si="12"/>
        <v/>
      </c>
      <c r="Q47" s="12" t="str">
        <f t="shared" si="12"/>
        <v/>
      </c>
      <c r="R47" s="12" t="str">
        <f t="shared" si="12"/>
        <v/>
      </c>
      <c r="S47" s="11" t="str">
        <f t="shared" si="13"/>
        <v/>
      </c>
      <c r="T47" s="11" t="str">
        <f t="shared" si="13"/>
        <v/>
      </c>
      <c r="U47" s="11" t="str">
        <f t="shared" si="13"/>
        <v/>
      </c>
      <c r="V47" s="11" t="str">
        <f t="shared" si="13"/>
        <v/>
      </c>
      <c r="W47" s="11" t="str">
        <f t="shared" si="13"/>
        <v/>
      </c>
      <c r="X47" s="12" t="str">
        <f t="shared" si="13"/>
        <v/>
      </c>
      <c r="Y47" s="12">
        <f t="shared" si="13"/>
        <v>1</v>
      </c>
      <c r="Z47" s="11" t="str">
        <f t="shared" si="13"/>
        <v/>
      </c>
      <c r="AA47" s="11" t="str">
        <f t="shared" si="13"/>
        <v/>
      </c>
      <c r="AB47" s="11" t="str">
        <f t="shared" si="13"/>
        <v/>
      </c>
    </row>
    <row r="48" spans="1:28" ht="18" customHeight="1">
      <c r="A48" s="25" t="s">
        <v>84</v>
      </c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</row>
    <row r="49" spans="1:28" ht="25.5" customHeight="1">
      <c r="A49" s="6">
        <v>34</v>
      </c>
      <c r="B49" s="7" t="s">
        <v>85</v>
      </c>
      <c r="C49" s="8" t="s">
        <v>86</v>
      </c>
      <c r="D49" s="7" t="s">
        <v>87</v>
      </c>
      <c r="E49" s="9">
        <v>46300</v>
      </c>
      <c r="F49" s="9">
        <v>46300</v>
      </c>
      <c r="G49" s="8">
        <f>F49-E49+1</f>
        <v>1</v>
      </c>
      <c r="H49" s="10">
        <v>1</v>
      </c>
      <c r="I49" s="11" t="str">
        <f t="shared" ref="I49:R53" si="14">IF(AND(I$9&gt;=$E49,I$9&lt;=$F49),1,"")</f>
        <v/>
      </c>
      <c r="J49" s="12" t="str">
        <f t="shared" si="14"/>
        <v/>
      </c>
      <c r="K49" s="12" t="str">
        <f t="shared" si="14"/>
        <v/>
      </c>
      <c r="L49" s="11" t="str">
        <f t="shared" si="14"/>
        <v/>
      </c>
      <c r="M49" s="11" t="str">
        <f t="shared" si="14"/>
        <v/>
      </c>
      <c r="N49" s="11" t="str">
        <f t="shared" si="14"/>
        <v/>
      </c>
      <c r="O49" s="11" t="str">
        <f t="shared" si="14"/>
        <v/>
      </c>
      <c r="P49" s="11" t="str">
        <f t="shared" si="14"/>
        <v/>
      </c>
      <c r="Q49" s="12" t="str">
        <f t="shared" si="14"/>
        <v/>
      </c>
      <c r="R49" s="12" t="str">
        <f t="shared" si="14"/>
        <v/>
      </c>
      <c r="S49" s="11" t="str">
        <f t="shared" ref="S49:AB53" si="15">IF(AND(S$9&gt;=$E49,S$9&lt;=$F49),1,"")</f>
        <v/>
      </c>
      <c r="T49" s="11" t="str">
        <f t="shared" si="15"/>
        <v/>
      </c>
      <c r="U49" s="11" t="str">
        <f t="shared" si="15"/>
        <v/>
      </c>
      <c r="V49" s="11" t="str">
        <f t="shared" si="15"/>
        <v/>
      </c>
      <c r="W49" s="11" t="str">
        <f t="shared" si="15"/>
        <v/>
      </c>
      <c r="X49" s="12" t="str">
        <f t="shared" si="15"/>
        <v/>
      </c>
      <c r="Y49" s="12" t="str">
        <f t="shared" si="15"/>
        <v/>
      </c>
      <c r="Z49" s="11">
        <f t="shared" si="15"/>
        <v>1</v>
      </c>
      <c r="AA49" s="11" t="str">
        <f t="shared" si="15"/>
        <v/>
      </c>
      <c r="AB49" s="11" t="str">
        <f t="shared" si="15"/>
        <v/>
      </c>
    </row>
    <row r="50" spans="1:28" ht="25.5" customHeight="1">
      <c r="A50" s="6">
        <v>35</v>
      </c>
      <c r="B50" s="7" t="s">
        <v>88</v>
      </c>
      <c r="C50" s="8" t="s">
        <v>89</v>
      </c>
      <c r="D50" s="7" t="s">
        <v>90</v>
      </c>
      <c r="E50" s="9">
        <v>46300</v>
      </c>
      <c r="F50" s="9">
        <v>46300</v>
      </c>
      <c r="G50" s="8">
        <f>F50-E50+1</f>
        <v>1</v>
      </c>
      <c r="H50" s="10">
        <v>1</v>
      </c>
      <c r="I50" s="11" t="str">
        <f t="shared" si="14"/>
        <v/>
      </c>
      <c r="J50" s="12" t="str">
        <f t="shared" si="14"/>
        <v/>
      </c>
      <c r="K50" s="12" t="str">
        <f t="shared" si="14"/>
        <v/>
      </c>
      <c r="L50" s="11" t="str">
        <f t="shared" si="14"/>
        <v/>
      </c>
      <c r="M50" s="11" t="str">
        <f t="shared" si="14"/>
        <v/>
      </c>
      <c r="N50" s="11" t="str">
        <f t="shared" si="14"/>
        <v/>
      </c>
      <c r="O50" s="11" t="str">
        <f t="shared" si="14"/>
        <v/>
      </c>
      <c r="P50" s="11" t="str">
        <f t="shared" si="14"/>
        <v/>
      </c>
      <c r="Q50" s="12" t="str">
        <f t="shared" si="14"/>
        <v/>
      </c>
      <c r="R50" s="12" t="str">
        <f t="shared" si="14"/>
        <v/>
      </c>
      <c r="S50" s="11" t="str">
        <f t="shared" si="15"/>
        <v/>
      </c>
      <c r="T50" s="11" t="str">
        <f t="shared" si="15"/>
        <v/>
      </c>
      <c r="U50" s="11" t="str">
        <f t="shared" si="15"/>
        <v/>
      </c>
      <c r="V50" s="11" t="str">
        <f t="shared" si="15"/>
        <v/>
      </c>
      <c r="W50" s="11" t="str">
        <f t="shared" si="15"/>
        <v/>
      </c>
      <c r="X50" s="12" t="str">
        <f t="shared" si="15"/>
        <v/>
      </c>
      <c r="Y50" s="12" t="str">
        <f t="shared" si="15"/>
        <v/>
      </c>
      <c r="Z50" s="11">
        <f t="shared" si="15"/>
        <v>1</v>
      </c>
      <c r="AA50" s="11" t="str">
        <f t="shared" si="15"/>
        <v/>
      </c>
      <c r="AB50" s="11" t="str">
        <f t="shared" si="15"/>
        <v/>
      </c>
    </row>
    <row r="51" spans="1:28" ht="25.5" customHeight="1">
      <c r="A51" s="6">
        <v>36</v>
      </c>
      <c r="B51" s="7" t="s">
        <v>91</v>
      </c>
      <c r="C51" s="8" t="s">
        <v>19</v>
      </c>
      <c r="D51" s="7" t="s">
        <v>92</v>
      </c>
      <c r="E51" s="9">
        <v>46300</v>
      </c>
      <c r="F51" s="9">
        <v>46301</v>
      </c>
      <c r="G51" s="8">
        <f>F51-E51+1</f>
        <v>2</v>
      </c>
      <c r="H51" s="10">
        <v>1</v>
      </c>
      <c r="I51" s="11" t="str">
        <f t="shared" si="14"/>
        <v/>
      </c>
      <c r="J51" s="12" t="str">
        <f t="shared" si="14"/>
        <v/>
      </c>
      <c r="K51" s="12" t="str">
        <f t="shared" si="14"/>
        <v/>
      </c>
      <c r="L51" s="11" t="str">
        <f t="shared" si="14"/>
        <v/>
      </c>
      <c r="M51" s="11" t="str">
        <f t="shared" si="14"/>
        <v/>
      </c>
      <c r="N51" s="11" t="str">
        <f t="shared" si="14"/>
        <v/>
      </c>
      <c r="O51" s="11" t="str">
        <f t="shared" si="14"/>
        <v/>
      </c>
      <c r="P51" s="11" t="str">
        <f t="shared" si="14"/>
        <v/>
      </c>
      <c r="Q51" s="12" t="str">
        <f t="shared" si="14"/>
        <v/>
      </c>
      <c r="R51" s="12" t="str">
        <f t="shared" si="14"/>
        <v/>
      </c>
      <c r="S51" s="11" t="str">
        <f t="shared" si="15"/>
        <v/>
      </c>
      <c r="T51" s="11" t="str">
        <f t="shared" si="15"/>
        <v/>
      </c>
      <c r="U51" s="11" t="str">
        <f t="shared" si="15"/>
        <v/>
      </c>
      <c r="V51" s="11" t="str">
        <f t="shared" si="15"/>
        <v/>
      </c>
      <c r="W51" s="11" t="str">
        <f t="shared" si="15"/>
        <v/>
      </c>
      <c r="X51" s="12" t="str">
        <f t="shared" si="15"/>
        <v/>
      </c>
      <c r="Y51" s="12" t="str">
        <f t="shared" si="15"/>
        <v/>
      </c>
      <c r="Z51" s="11">
        <f t="shared" si="15"/>
        <v>1</v>
      </c>
      <c r="AA51" s="11">
        <f t="shared" si="15"/>
        <v>1</v>
      </c>
      <c r="AB51" s="11" t="str">
        <f t="shared" si="15"/>
        <v/>
      </c>
    </row>
    <row r="52" spans="1:28" ht="25.5" customHeight="1">
      <c r="A52" s="6">
        <v>37</v>
      </c>
      <c r="B52" s="7" t="s">
        <v>93</v>
      </c>
      <c r="C52" s="8" t="s">
        <v>94</v>
      </c>
      <c r="D52" s="7" t="s">
        <v>95</v>
      </c>
      <c r="E52" s="9">
        <v>46301</v>
      </c>
      <c r="F52" s="9">
        <v>46301</v>
      </c>
      <c r="G52" s="8">
        <f>F52-E52+1</f>
        <v>1</v>
      </c>
      <c r="H52" s="10">
        <v>1</v>
      </c>
      <c r="I52" s="11" t="str">
        <f t="shared" si="14"/>
        <v/>
      </c>
      <c r="J52" s="12" t="str">
        <f t="shared" si="14"/>
        <v/>
      </c>
      <c r="K52" s="12" t="str">
        <f t="shared" si="14"/>
        <v/>
      </c>
      <c r="L52" s="11" t="str">
        <f t="shared" si="14"/>
        <v/>
      </c>
      <c r="M52" s="11" t="str">
        <f t="shared" si="14"/>
        <v/>
      </c>
      <c r="N52" s="11" t="str">
        <f t="shared" si="14"/>
        <v/>
      </c>
      <c r="O52" s="11" t="str">
        <f t="shared" si="14"/>
        <v/>
      </c>
      <c r="P52" s="11" t="str">
        <f t="shared" si="14"/>
        <v/>
      </c>
      <c r="Q52" s="12" t="str">
        <f t="shared" si="14"/>
        <v/>
      </c>
      <c r="R52" s="12" t="str">
        <f t="shared" si="14"/>
        <v/>
      </c>
      <c r="S52" s="11" t="str">
        <f t="shared" si="15"/>
        <v/>
      </c>
      <c r="T52" s="11" t="str">
        <f t="shared" si="15"/>
        <v/>
      </c>
      <c r="U52" s="11" t="str">
        <f t="shared" si="15"/>
        <v/>
      </c>
      <c r="V52" s="11" t="str">
        <f t="shared" si="15"/>
        <v/>
      </c>
      <c r="W52" s="11" t="str">
        <f t="shared" si="15"/>
        <v/>
      </c>
      <c r="X52" s="12" t="str">
        <f t="shared" si="15"/>
        <v/>
      </c>
      <c r="Y52" s="12" t="str">
        <f t="shared" si="15"/>
        <v/>
      </c>
      <c r="Z52" s="11" t="str">
        <f t="shared" si="15"/>
        <v/>
      </c>
      <c r="AA52" s="11">
        <f t="shared" si="15"/>
        <v>1</v>
      </c>
      <c r="AB52" s="11" t="str">
        <f t="shared" si="15"/>
        <v/>
      </c>
    </row>
    <row r="53" spans="1:28" ht="25.5" customHeight="1">
      <c r="A53" s="6">
        <v>38</v>
      </c>
      <c r="B53" s="7" t="s">
        <v>96</v>
      </c>
      <c r="C53" s="8" t="s">
        <v>19</v>
      </c>
      <c r="D53" s="7" t="s">
        <v>20</v>
      </c>
      <c r="E53" s="9">
        <v>46302</v>
      </c>
      <c r="F53" s="9">
        <v>46302</v>
      </c>
      <c r="G53" s="8">
        <f>F53-E53+1</f>
        <v>1</v>
      </c>
      <c r="H53" s="10">
        <v>1</v>
      </c>
      <c r="I53" s="11" t="str">
        <f t="shared" si="14"/>
        <v/>
      </c>
      <c r="J53" s="12" t="str">
        <f t="shared" si="14"/>
        <v/>
      </c>
      <c r="K53" s="12" t="str">
        <f t="shared" si="14"/>
        <v/>
      </c>
      <c r="L53" s="11" t="str">
        <f t="shared" si="14"/>
        <v/>
      </c>
      <c r="M53" s="11" t="str">
        <f t="shared" si="14"/>
        <v/>
      </c>
      <c r="N53" s="11" t="str">
        <f t="shared" si="14"/>
        <v/>
      </c>
      <c r="O53" s="11" t="str">
        <f t="shared" si="14"/>
        <v/>
      </c>
      <c r="P53" s="11" t="str">
        <f t="shared" si="14"/>
        <v/>
      </c>
      <c r="Q53" s="12" t="str">
        <f t="shared" si="14"/>
        <v/>
      </c>
      <c r="R53" s="12" t="str">
        <f t="shared" si="14"/>
        <v/>
      </c>
      <c r="S53" s="11" t="str">
        <f t="shared" si="15"/>
        <v/>
      </c>
      <c r="T53" s="11" t="str">
        <f t="shared" si="15"/>
        <v/>
      </c>
      <c r="U53" s="11" t="str">
        <f t="shared" si="15"/>
        <v/>
      </c>
      <c r="V53" s="11" t="str">
        <f t="shared" si="15"/>
        <v/>
      </c>
      <c r="W53" s="11" t="str">
        <f t="shared" si="15"/>
        <v/>
      </c>
      <c r="X53" s="12" t="str">
        <f t="shared" si="15"/>
        <v/>
      </c>
      <c r="Y53" s="12" t="str">
        <f t="shared" si="15"/>
        <v/>
      </c>
      <c r="Z53" s="11" t="str">
        <f t="shared" si="15"/>
        <v/>
      </c>
      <c r="AA53" s="11" t="str">
        <f t="shared" si="15"/>
        <v/>
      </c>
      <c r="AB53" s="11">
        <f t="shared" si="15"/>
        <v>1</v>
      </c>
    </row>
    <row r="55" spans="1:28">
      <c r="A55" s="13"/>
      <c r="B55" s="14" t="s">
        <v>97</v>
      </c>
      <c r="C55" s="13"/>
      <c r="D55" s="13"/>
      <c r="E55" s="15">
        <f>MIN(E11:E53)</f>
        <v>46283</v>
      </c>
      <c r="F55" s="15">
        <f>MAX(F11:F53)</f>
        <v>46302</v>
      </c>
      <c r="G55" s="16">
        <f>F55-E55+1</f>
        <v>20</v>
      </c>
      <c r="H55" s="17">
        <f>IFERROR(AVERAGE(H11:H53),0)</f>
        <v>1</v>
      </c>
    </row>
    <row r="57" spans="1:28">
      <c r="B57" s="1"/>
    </row>
  </sheetData>
  <mergeCells count="23">
    <mergeCell ref="A39:AB39"/>
    <mergeCell ref="A48:AB48"/>
    <mergeCell ref="V8:AB8"/>
    <mergeCell ref="A10:AB10"/>
    <mergeCell ref="A18:AB18"/>
    <mergeCell ref="A25:AB25"/>
    <mergeCell ref="A31:AB31"/>
    <mergeCell ref="E8:E9"/>
    <mergeCell ref="F8:F9"/>
    <mergeCell ref="G8:G9"/>
    <mergeCell ref="H8:H9"/>
    <mergeCell ref="I8:U8"/>
    <mergeCell ref="B5:D5"/>
    <mergeCell ref="B6:D6"/>
    <mergeCell ref="A8:A9"/>
    <mergeCell ref="B8:B9"/>
    <mergeCell ref="C8:C9"/>
    <mergeCell ref="D8:D9"/>
    <mergeCell ref="A1:AB1"/>
    <mergeCell ref="B3:D3"/>
    <mergeCell ref="F3:R3"/>
    <mergeCell ref="B4:D4"/>
    <mergeCell ref="F4:R4"/>
  </mergeCells>
  <conditionalFormatting sqref="H11:H53">
    <cfRule type="dataBar" priority="4">
      <dataBar>
        <cfvo type="num" val="0"/>
        <cfvo type="num" val="1"/>
        <color rgb="FF2E6D96"/>
      </dataBar>
      <extLst>
        <ext xmlns:x14="http://schemas.microsoft.com/office/spreadsheetml/2009/9/main" uri="{B025F937-C7B1-47D3-B67F-A62EFF666E3E}">
          <x14:id>{674596A9-3695-45F4-ACEB-3DBA607386F2}</x14:id>
        </ext>
      </extLst>
    </cfRule>
  </conditionalFormatting>
  <conditionalFormatting sqref="I11:AB53">
    <cfRule type="expression" dxfId="1" priority="2">
      <formula>I11=1</formula>
    </cfRule>
    <cfRule type="expression" dxfId="0" priority="3">
      <formula>I$9=TODAY()</formula>
    </cfRule>
  </conditionalFormatting>
  <pageMargins left="0.25" right="0.25" top="0.75" bottom="0.75" header="0.3" footer="0.3"/>
  <pageSetup paperSize="3" orientation="landscape" horizontalDpi="300" verticalDpi="300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4596A9-3695-45F4-ACEB-3DBA607386F2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2E6D96"/>
            </x14:dataBar>
          </x14:cfRule>
          <xm:sqref>H11:H53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showGridLines="0" topLeftCell="A15" zoomScaleNormal="100" workbookViewId="0">
      <selection activeCell="F15" sqref="F15"/>
    </sheetView>
  </sheetViews>
  <sheetFormatPr defaultColWidth="8.7109375" defaultRowHeight="15" customHeight="1"/>
  <cols>
    <col min="1" max="1" width="38" customWidth="1"/>
    <col min="2" max="2" width="16" customWidth="1"/>
    <col min="3" max="3" width="30" customWidth="1"/>
    <col min="4" max="4" width="16" customWidth="1"/>
  </cols>
  <sheetData>
    <row r="1" spans="1:4" ht="24" customHeight="1">
      <c r="A1" s="27" t="s">
        <v>98</v>
      </c>
      <c r="B1" s="27"/>
      <c r="C1" s="27"/>
      <c r="D1" s="27"/>
    </row>
    <row r="3" spans="1:4">
      <c r="A3" s="18" t="s">
        <v>99</v>
      </c>
      <c r="B3" s="18" t="s">
        <v>100</v>
      </c>
      <c r="C3" s="18" t="s">
        <v>101</v>
      </c>
      <c r="D3" s="18" t="s">
        <v>102</v>
      </c>
    </row>
    <row r="4" spans="1:4">
      <c r="A4" s="19" t="s">
        <v>103</v>
      </c>
      <c r="B4" s="20">
        <v>46283</v>
      </c>
      <c r="C4" s="20">
        <v>46285</v>
      </c>
      <c r="D4" s="6" t="str">
        <f ca="1">IF(TODAY()&gt;C4,"Due passed",IF(TODAY()&gt;=B4,"In progress","Not started"))</f>
        <v>Due passed</v>
      </c>
    </row>
    <row r="5" spans="1:4">
      <c r="A5" s="19" t="s">
        <v>104</v>
      </c>
      <c r="B5" s="20">
        <v>46286</v>
      </c>
      <c r="C5" s="20">
        <v>46288</v>
      </c>
      <c r="D5" s="6" t="str">
        <f ca="1">IF(TODAY()&gt;C5,"Due passed",IF(TODAY()&gt;=B5,"In progress","Not started"))</f>
        <v>Due passed</v>
      </c>
    </row>
    <row r="6" spans="1:4">
      <c r="A6" s="19" t="s">
        <v>105</v>
      </c>
      <c r="B6" s="20">
        <v>46289</v>
      </c>
      <c r="C6" s="20">
        <v>46291</v>
      </c>
      <c r="D6" s="6" t="str">
        <f ca="1">IF(TODAY()&gt;C6,"Due passed",IF(TODAY()&gt;=B6,"In progress","Not started"))</f>
        <v>Due passed</v>
      </c>
    </row>
    <row r="7" spans="1:4">
      <c r="A7" s="19" t="s">
        <v>106</v>
      </c>
      <c r="B7" s="20">
        <v>46292</v>
      </c>
      <c r="C7" s="20">
        <v>46295</v>
      </c>
      <c r="D7" s="6" t="str">
        <f ca="1">IF(TODAY()&gt;C7,"Due passed",IF(TODAY()&gt;=B7,"In progress","Not started"))</f>
        <v>Due passed</v>
      </c>
    </row>
    <row r="8" spans="1:4">
      <c r="A8" s="19" t="s">
        <v>107</v>
      </c>
      <c r="B8" s="20">
        <v>46296</v>
      </c>
      <c r="C8" s="20">
        <v>46299</v>
      </c>
      <c r="D8" s="6" t="str">
        <f ca="1">IF(TODAY()&gt;C8,"Due passed",IF(TODAY()&gt;=B8,"In progress","Not started"))</f>
        <v>Due passed</v>
      </c>
    </row>
    <row r="9" spans="1:4">
      <c r="A9" s="19" t="s">
        <v>108</v>
      </c>
      <c r="B9" s="20">
        <v>46300</v>
      </c>
      <c r="C9" s="20">
        <v>46302</v>
      </c>
      <c r="D9" s="6" t="str">
        <f ca="1">IF(TODAY()&gt;C9,"Due passed",IF(TODAY()&gt;=B9,"In progress","Not started"))</f>
        <v>Due passed</v>
      </c>
    </row>
    <row r="12" spans="1:4" ht="18">
      <c r="A12" s="27" t="s">
        <v>109</v>
      </c>
      <c r="B12" s="27"/>
      <c r="C12" s="27"/>
    </row>
    <row r="14" spans="1:4">
      <c r="A14" s="18" t="s">
        <v>110</v>
      </c>
      <c r="B14" s="18" t="s">
        <v>111</v>
      </c>
    </row>
    <row r="15" spans="1:4">
      <c r="A15" s="19" t="s">
        <v>112</v>
      </c>
      <c r="B15" s="19" t="s">
        <v>113</v>
      </c>
    </row>
    <row r="16" spans="1:4">
      <c r="A16" s="19" t="s">
        <v>114</v>
      </c>
      <c r="B16" s="19" t="s">
        <v>115</v>
      </c>
    </row>
    <row r="17" spans="1:2">
      <c r="A17" s="19" t="s">
        <v>116</v>
      </c>
      <c r="B17" s="19" t="s">
        <v>117</v>
      </c>
    </row>
    <row r="18" spans="1:2">
      <c r="A18" s="19" t="s">
        <v>118</v>
      </c>
      <c r="B18" s="19" t="s">
        <v>119</v>
      </c>
    </row>
    <row r="19" spans="1:2">
      <c r="A19" s="19" t="s">
        <v>120</v>
      </c>
      <c r="B19" s="19" t="s">
        <v>121</v>
      </c>
    </row>
    <row r="20" spans="1:2">
      <c r="A20" s="19" t="s">
        <v>122</v>
      </c>
      <c r="B20" s="19" t="s">
        <v>123</v>
      </c>
    </row>
    <row r="21" spans="1:2">
      <c r="A21" s="19" t="s">
        <v>124</v>
      </c>
      <c r="B21" s="19" t="s">
        <v>125</v>
      </c>
    </row>
    <row r="22" spans="1:2">
      <c r="A22" s="19" t="s">
        <v>126</v>
      </c>
      <c r="B22" s="19" t="s">
        <v>127</v>
      </c>
    </row>
    <row r="23" spans="1:2">
      <c r="A23" s="19" t="s">
        <v>128</v>
      </c>
      <c r="B23" s="19" t="s">
        <v>129</v>
      </c>
    </row>
    <row r="24" spans="1:2">
      <c r="A24" s="19" t="s">
        <v>130</v>
      </c>
      <c r="B24" s="19" t="s">
        <v>131</v>
      </c>
    </row>
    <row r="25" spans="1:2">
      <c r="A25" s="19" t="s">
        <v>132</v>
      </c>
      <c r="B25" s="19" t="s">
        <v>133</v>
      </c>
    </row>
    <row r="26" spans="1:2">
      <c r="A26" s="19" t="s">
        <v>20</v>
      </c>
      <c r="B26" s="19" t="s">
        <v>134</v>
      </c>
    </row>
    <row r="27" spans="1:2">
      <c r="A27" s="19" t="s">
        <v>135</v>
      </c>
      <c r="B27" s="19" t="s">
        <v>136</v>
      </c>
    </row>
    <row r="28" spans="1:2">
      <c r="A28" s="19" t="s">
        <v>137</v>
      </c>
      <c r="B28" s="19" t="s">
        <v>138</v>
      </c>
    </row>
    <row r="29" spans="1:2">
      <c r="A29" s="19" t="s">
        <v>139</v>
      </c>
      <c r="B29" s="19" t="s">
        <v>140</v>
      </c>
    </row>
  </sheetData>
  <mergeCells count="2">
    <mergeCell ref="A1:D1"/>
    <mergeCell ref="A12:C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Oshadhi Sadinya</dc:creator>
  <cp:keywords/>
  <dc:description/>
  <cp:lastModifiedBy/>
  <cp:revision>0</cp:revision>
  <dcterms:created xsi:type="dcterms:W3CDTF">2026-09-19T02:30:44Z</dcterms:created>
  <dcterms:modified xsi:type="dcterms:W3CDTF">2026-10-08T04:38:41Z</dcterms:modified>
  <cp:category/>
  <cp:contentStatus/>
</cp:coreProperties>
</file>